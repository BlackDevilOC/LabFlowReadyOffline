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LAB-MAIN-PC\Users\Public\Documents\"/>
    </mc:Choice>
  </mc:AlternateContent>
  <bookViews>
    <workbookView xWindow="240" yWindow="525" windowWidth="28455" windowHeight="12210"/>
  </bookViews>
  <sheets>
    <sheet name="June-26" sheetId="19" r:id="rId1"/>
    <sheet name="Indent" sheetId="17" r:id="rId2"/>
    <sheet name="Indent (2)" sheetId="18" r:id="rId3"/>
    <sheet name="Sheet1" sheetId="16" r:id="rId4"/>
  </sheets>
  <definedNames>
    <definedName name="_xlnm.Print_Area" localSheetId="1">Indent!$A$1:$AH$59</definedName>
    <definedName name="_xlnm.Print_Area" localSheetId="2">'Indent (2)'!$A$1:$E$55</definedName>
    <definedName name="_xlnm.Print_Area" localSheetId="0">'June-26'!$A$1:$AH$40</definedName>
    <definedName name="_xlnm.Print_Titles" localSheetId="1">Indent!$1:$2</definedName>
    <definedName name="_xlnm.Print_Titles" localSheetId="2">'Indent (2)'!$1:$2</definedName>
    <definedName name="_xlnm.Print_Titles" localSheetId="3">Sheet1!$1:$3</definedName>
  </definedNames>
  <calcPr calcId="152511"/>
</workbook>
</file>

<file path=xl/calcChain.xml><?xml version="1.0" encoding="utf-8"?>
<calcChain xmlns="http://schemas.openxmlformats.org/spreadsheetml/2006/main">
  <c r="V38" i="19" l="1"/>
  <c r="L33" i="19" l="1"/>
  <c r="L32" i="19"/>
  <c r="L31" i="19"/>
  <c r="L30" i="19"/>
  <c r="L29" i="19"/>
  <c r="L28" i="19"/>
  <c r="L27" i="19"/>
  <c r="L26" i="19"/>
  <c r="L25" i="19"/>
  <c r="L24" i="19"/>
  <c r="L22" i="19"/>
  <c r="L21" i="19"/>
  <c r="L20" i="19"/>
  <c r="L19" i="19"/>
  <c r="AH58" i="17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AH20" i="17"/>
  <c r="AH19" i="17"/>
  <c r="AL5" i="19"/>
  <c r="AL6" i="19"/>
  <c r="AL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I25" i="19"/>
  <c r="AJ25" i="19" s="1"/>
  <c r="AK23" i="19"/>
  <c r="AK14" i="19"/>
  <c r="AI33" i="19"/>
  <c r="AJ33" i="19" s="1"/>
  <c r="AI32" i="19"/>
  <c r="AJ32" i="19" s="1"/>
  <c r="AI31" i="19"/>
  <c r="AJ31" i="19" s="1"/>
  <c r="AI30" i="19"/>
  <c r="AJ30" i="19" s="1"/>
  <c r="AI29" i="19"/>
  <c r="AJ29" i="19" s="1"/>
  <c r="AI28" i="19"/>
  <c r="AJ28" i="19" s="1"/>
  <c r="AI27" i="19"/>
  <c r="AJ27" i="19" s="1"/>
  <c r="AI26" i="19"/>
  <c r="AJ26" i="19" s="1"/>
  <c r="AA33" i="19"/>
  <c r="AB33" i="19" s="1"/>
  <c r="AC33" i="19" s="1"/>
  <c r="G33" i="19"/>
  <c r="AK33" i="19" s="1"/>
  <c r="AA32" i="19"/>
  <c r="AB32" i="19" s="1"/>
  <c r="AC32" i="19" s="1"/>
  <c r="G32" i="19"/>
  <c r="AK32" i="19" s="1"/>
  <c r="AA31" i="19"/>
  <c r="AB31" i="19" s="1"/>
  <c r="AC31" i="19" s="1"/>
  <c r="G31" i="19"/>
  <c r="AK31" i="19" s="1"/>
  <c r="AA30" i="19"/>
  <c r="AB30" i="19" s="1"/>
  <c r="AC30" i="19" s="1"/>
  <c r="G30" i="19"/>
  <c r="AK30" i="19" s="1"/>
  <c r="AA29" i="19"/>
  <c r="AB29" i="19" s="1"/>
  <c r="AC29" i="19" s="1"/>
  <c r="G29" i="19"/>
  <c r="AK29" i="19" s="1"/>
  <c r="AA28" i="19"/>
  <c r="AB28" i="19" s="1"/>
  <c r="AC28" i="19" s="1"/>
  <c r="G28" i="19"/>
  <c r="AK28" i="19" s="1"/>
  <c r="AA27" i="19"/>
  <c r="AB27" i="19" s="1"/>
  <c r="AC27" i="19" s="1"/>
  <c r="G27" i="19"/>
  <c r="AK27" i="19" s="1"/>
  <c r="AA26" i="19"/>
  <c r="AB26" i="19" s="1"/>
  <c r="AC26" i="19" s="1"/>
  <c r="G26" i="19"/>
  <c r="AK26" i="19" s="1"/>
  <c r="AA25" i="19"/>
  <c r="AB25" i="19" s="1"/>
  <c r="AC25" i="19" s="1"/>
  <c r="G25" i="19"/>
  <c r="AK25" i="19" s="1"/>
  <c r="AA24" i="19"/>
  <c r="AB24" i="19" s="1"/>
  <c r="AC24" i="19" s="1"/>
  <c r="G24" i="19"/>
  <c r="AK24" i="19" s="1"/>
  <c r="AA23" i="19"/>
  <c r="AB23" i="19" s="1"/>
  <c r="AC23" i="19" s="1"/>
  <c r="G23" i="19"/>
  <c r="AA22" i="19"/>
  <c r="AB22" i="19" s="1"/>
  <c r="AC22" i="19" s="1"/>
  <c r="G22" i="19"/>
  <c r="AK22" i="19" s="1"/>
  <c r="AA21" i="19"/>
  <c r="AB21" i="19" s="1"/>
  <c r="AC21" i="19" s="1"/>
  <c r="G21" i="19"/>
  <c r="AK21" i="19" s="1"/>
  <c r="AA20" i="19"/>
  <c r="AB20" i="19" s="1"/>
  <c r="AC20" i="19" s="1"/>
  <c r="G20" i="19"/>
  <c r="AK20" i="19" s="1"/>
  <c r="AI20" i="19"/>
  <c r="AJ20" i="19" s="1"/>
  <c r="AA19" i="19"/>
  <c r="AB19" i="19" s="1"/>
  <c r="AC19" i="19" s="1"/>
  <c r="G19" i="19"/>
  <c r="AK19" i="19" s="1"/>
  <c r="AI19" i="19"/>
  <c r="AJ19" i="19" s="1"/>
  <c r="AA18" i="19"/>
  <c r="AB18" i="19" s="1"/>
  <c r="AC18" i="19" s="1"/>
  <c r="G18" i="19"/>
  <c r="AK18" i="19" s="1"/>
  <c r="AI18" i="19"/>
  <c r="AJ18" i="19" s="1"/>
  <c r="AA17" i="19"/>
  <c r="AB17" i="19" s="1"/>
  <c r="AC17" i="19" s="1"/>
  <c r="G17" i="19"/>
  <c r="AK17" i="19" s="1"/>
  <c r="AI17" i="19"/>
  <c r="AJ17" i="19" s="1"/>
  <c r="AA16" i="19"/>
  <c r="AB16" i="19" s="1"/>
  <c r="AC16" i="19" s="1"/>
  <c r="G16" i="19"/>
  <c r="AK16" i="19" s="1"/>
  <c r="AI16" i="19"/>
  <c r="AJ16" i="19" s="1"/>
  <c r="AA15" i="19"/>
  <c r="AB15" i="19" s="1"/>
  <c r="AC15" i="19" s="1"/>
  <c r="G15" i="19"/>
  <c r="AK15" i="19" s="1"/>
  <c r="AI15" i="19"/>
  <c r="AJ15" i="19" s="1"/>
  <c r="AA14" i="19"/>
  <c r="AB14" i="19" s="1"/>
  <c r="AC14" i="19" s="1"/>
  <c r="G14" i="19"/>
  <c r="AA13" i="19"/>
  <c r="AB13" i="19" s="1"/>
  <c r="AC13" i="19" s="1"/>
  <c r="G13" i="19"/>
  <c r="AK13" i="19" s="1"/>
  <c r="AA12" i="19"/>
  <c r="AB12" i="19" s="1"/>
  <c r="AC12" i="19" s="1"/>
  <c r="G12" i="19"/>
  <c r="AK12" i="19" s="1"/>
  <c r="AA11" i="19"/>
  <c r="AB11" i="19" s="1"/>
  <c r="AC11" i="19" s="1"/>
  <c r="G11" i="19"/>
  <c r="AK11" i="19" s="1"/>
  <c r="AA10" i="19"/>
  <c r="AB10" i="19" s="1"/>
  <c r="AC10" i="19" s="1"/>
  <c r="G10" i="19"/>
  <c r="AK10" i="19" s="1"/>
  <c r="AA9" i="19"/>
  <c r="AB9" i="19" s="1"/>
  <c r="AC9" i="19" s="1"/>
  <c r="G9" i="19"/>
  <c r="AK9" i="19" s="1"/>
  <c r="AB8" i="19"/>
  <c r="AC8" i="19" s="1"/>
  <c r="AA8" i="19"/>
  <c r="G8" i="19"/>
  <c r="AK8" i="19" s="1"/>
  <c r="AN34" i="19"/>
  <c r="I37" i="19" s="1"/>
  <c r="AO34" i="19"/>
  <c r="I36" i="19" s="1"/>
  <c r="AT34" i="19"/>
  <c r="AI14" i="19"/>
  <c r="AJ14" i="19" s="1"/>
  <c r="AI13" i="19"/>
  <c r="AJ13" i="19" s="1"/>
  <c r="AI12" i="19"/>
  <c r="AJ12" i="19" s="1"/>
  <c r="AI11" i="19"/>
  <c r="AJ11" i="19" s="1"/>
  <c r="AI10" i="19"/>
  <c r="AJ10" i="19" s="1"/>
  <c r="AJ9" i="19"/>
  <c r="AI9" i="19"/>
  <c r="AI8" i="19"/>
  <c r="AJ8" i="19" s="1"/>
  <c r="AI7" i="19"/>
  <c r="AJ7" i="19" s="1"/>
  <c r="AI6" i="19"/>
  <c r="AJ6" i="19" s="1"/>
  <c r="AI5" i="19"/>
  <c r="AJ5" i="19" s="1"/>
  <c r="AA7" i="19"/>
  <c r="AB7" i="19" s="1"/>
  <c r="AC7" i="19" s="1"/>
  <c r="G7" i="19"/>
  <c r="AK7" i="19" s="1"/>
  <c r="AA6" i="19"/>
  <c r="AB6" i="19" s="1"/>
  <c r="AC6" i="19" s="1"/>
  <c r="G6" i="19"/>
  <c r="AK6" i="19" s="1"/>
  <c r="AC5" i="19"/>
  <c r="AB5" i="19"/>
  <c r="AA5" i="19"/>
  <c r="G5" i="19"/>
  <c r="AK5" i="19" s="1"/>
  <c r="AA4" i="19"/>
  <c r="AB4" i="19"/>
  <c r="AC4" i="19"/>
  <c r="G4" i="19"/>
  <c r="AK4" i="19" s="1"/>
  <c r="AI4" i="19"/>
  <c r="AH18" i="17"/>
  <c r="AL4" i="19"/>
  <c r="AH34" i="19"/>
  <c r="AL34" i="19" s="1"/>
  <c r="AG34" i="19"/>
  <c r="AF34" i="19"/>
  <c r="AE34" i="19"/>
  <c r="AD34" i="19"/>
  <c r="Z34" i="19"/>
  <c r="Y34" i="19"/>
  <c r="X34" i="19"/>
  <c r="W34" i="19"/>
  <c r="D11" i="18" s="1"/>
  <c r="V34" i="19"/>
  <c r="D10" i="18" s="1"/>
  <c r="U34" i="19"/>
  <c r="T34" i="19"/>
  <c r="S34" i="19"/>
  <c r="D8" i="18" s="1"/>
  <c r="R34" i="19"/>
  <c r="D21" i="18" s="1"/>
  <c r="Q34" i="19"/>
  <c r="D7" i="18" s="1"/>
  <c r="O34" i="19"/>
  <c r="D5" i="18" s="1"/>
  <c r="N34" i="19"/>
  <c r="D20" i="18" s="1"/>
  <c r="M34" i="19"/>
  <c r="D18" i="18" s="1"/>
  <c r="K34" i="19"/>
  <c r="D13" i="18" s="1"/>
  <c r="J34" i="19"/>
  <c r="D12" i="18" s="1"/>
  <c r="I34" i="19"/>
  <c r="D25" i="18" s="1"/>
  <c r="H34" i="19"/>
  <c r="D24" i="18" s="1"/>
  <c r="F34" i="19"/>
  <c r="D22" i="18" s="1"/>
  <c r="E34" i="19"/>
  <c r="D9" i="18" s="1"/>
  <c r="D34" i="19"/>
  <c r="D4" i="18" s="1"/>
  <c r="C34" i="19"/>
  <c r="D26" i="18" s="1"/>
  <c r="B34" i="19"/>
  <c r="D3" i="18" s="1"/>
  <c r="AW34" i="19"/>
  <c r="M39" i="19" s="1"/>
  <c r="AV34" i="19"/>
  <c r="M37" i="19" s="1"/>
  <c r="AU34" i="19"/>
  <c r="M38" i="19" s="1"/>
  <c r="AS34" i="19"/>
  <c r="R37" i="19" s="1"/>
  <c r="AR34" i="19"/>
  <c r="R36" i="19" s="1"/>
  <c r="AQ34" i="19"/>
  <c r="I39" i="19" s="1"/>
  <c r="AP34" i="19"/>
  <c r="I38" i="19" s="1"/>
  <c r="AH57" i="17"/>
  <c r="C54" i="18" s="1"/>
  <c r="E54" i="18" s="1"/>
  <c r="AH56" i="17"/>
  <c r="C53" i="18" s="1"/>
  <c r="E53" i="18" s="1"/>
  <c r="AH59" i="17"/>
  <c r="C55" i="18" s="1"/>
  <c r="E55" i="18" s="1"/>
  <c r="AH55" i="17"/>
  <c r="C52" i="18" s="1"/>
  <c r="AH6" i="17"/>
  <c r="C6" i="18" s="1"/>
  <c r="AH7" i="17"/>
  <c r="C7" i="18" s="1"/>
  <c r="AH8" i="17"/>
  <c r="C8" i="18" s="1"/>
  <c r="AH9" i="17"/>
  <c r="C9" i="18" s="1"/>
  <c r="AH10" i="17"/>
  <c r="C10" i="18" s="1"/>
  <c r="AH11" i="17"/>
  <c r="C11" i="18" s="1"/>
  <c r="AH12" i="17"/>
  <c r="C12" i="18" s="1"/>
  <c r="AH13" i="17"/>
  <c r="C13" i="18" s="1"/>
  <c r="AH14" i="17"/>
  <c r="C14" i="18" s="1"/>
  <c r="AH15" i="17"/>
  <c r="C15" i="18" s="1"/>
  <c r="AH16" i="17"/>
  <c r="C16" i="18" s="1"/>
  <c r="AH17" i="17"/>
  <c r="C17" i="18" s="1"/>
  <c r="AH21" i="17"/>
  <c r="C18" i="18" s="1"/>
  <c r="AH22" i="17"/>
  <c r="C19" i="18" s="1"/>
  <c r="AH23" i="17"/>
  <c r="C20" i="18" s="1"/>
  <c r="AH24" i="17"/>
  <c r="C21" i="18" s="1"/>
  <c r="AH25" i="17"/>
  <c r="C22" i="18" s="1"/>
  <c r="AH26" i="17"/>
  <c r="C23" i="18" s="1"/>
  <c r="AH27" i="17"/>
  <c r="C24" i="18" s="1"/>
  <c r="AH28" i="17"/>
  <c r="C25" i="18" s="1"/>
  <c r="AH29" i="17"/>
  <c r="C26" i="18" s="1"/>
  <c r="AH30" i="17"/>
  <c r="C27" i="18" s="1"/>
  <c r="AH31" i="17"/>
  <c r="C28" i="18" s="1"/>
  <c r="AH32" i="17"/>
  <c r="C29" i="18" s="1"/>
  <c r="E29" i="18" s="1"/>
  <c r="AH33" i="17"/>
  <c r="C30" i="18" s="1"/>
  <c r="E30" i="18" s="1"/>
  <c r="AH34" i="17"/>
  <c r="C31" i="18" s="1"/>
  <c r="E31" i="18" s="1"/>
  <c r="AH35" i="17"/>
  <c r="C32" i="18" s="1"/>
  <c r="E32" i="18" s="1"/>
  <c r="AH36" i="17"/>
  <c r="C33" i="18" s="1"/>
  <c r="E33" i="18" s="1"/>
  <c r="AH37" i="17"/>
  <c r="C34" i="18" s="1"/>
  <c r="E34" i="18" s="1"/>
  <c r="AH38" i="17"/>
  <c r="C35" i="18" s="1"/>
  <c r="E35" i="18" s="1"/>
  <c r="AH39" i="17"/>
  <c r="C36" i="18" s="1"/>
  <c r="E36" i="18" s="1"/>
  <c r="AH40" i="17"/>
  <c r="C37" i="18" s="1"/>
  <c r="E37" i="18" s="1"/>
  <c r="AH41" i="17"/>
  <c r="C38" i="18" s="1"/>
  <c r="AH42" i="17"/>
  <c r="C39" i="18" s="1"/>
  <c r="AH43" i="17"/>
  <c r="C40" i="18" s="1"/>
  <c r="AH44" i="17"/>
  <c r="C41" i="18" s="1"/>
  <c r="E41" i="18" s="1"/>
  <c r="AH45" i="17"/>
  <c r="C42" i="18" s="1"/>
  <c r="AH46" i="17"/>
  <c r="C43" i="18" s="1"/>
  <c r="E43" i="18" s="1"/>
  <c r="AH47" i="17"/>
  <c r="C44" i="18" s="1"/>
  <c r="E44" i="18" s="1"/>
  <c r="AH48" i="17"/>
  <c r="C45" i="18" s="1"/>
  <c r="E45" i="18" s="1"/>
  <c r="AH49" i="17"/>
  <c r="C46" i="18" s="1"/>
  <c r="E46" i="18" s="1"/>
  <c r="AH50" i="17"/>
  <c r="C47" i="18" s="1"/>
  <c r="E47" i="18" s="1"/>
  <c r="AH51" i="17"/>
  <c r="C48" i="18" s="1"/>
  <c r="E48" i="18" s="1"/>
  <c r="AH52" i="17"/>
  <c r="C49" i="18" s="1"/>
  <c r="E49" i="18" s="1"/>
  <c r="AH53" i="17"/>
  <c r="C50" i="18" s="1"/>
  <c r="E50" i="18" s="1"/>
  <c r="AH54" i="17"/>
  <c r="C51" i="18" s="1"/>
  <c r="E51" i="18" s="1"/>
  <c r="AH3" i="17"/>
  <c r="C3" i="18" s="1"/>
  <c r="CT26" i="16"/>
  <c r="CT25" i="16"/>
  <c r="CQ26" i="16"/>
  <c r="CQ25" i="16"/>
  <c r="CN26" i="16"/>
  <c r="CN25" i="16"/>
  <c r="CK26" i="16"/>
  <c r="CK25" i="16"/>
  <c r="CH26" i="16"/>
  <c r="CH25" i="16"/>
  <c r="CE26" i="16"/>
  <c r="CE25" i="16"/>
  <c r="F26" i="16"/>
  <c r="CX26" i="16" s="1"/>
  <c r="F25" i="16"/>
  <c r="CX25" i="16" s="1"/>
  <c r="CY13" i="16"/>
  <c r="F30" i="16"/>
  <c r="CX30" i="16" s="1"/>
  <c r="CZ49" i="16"/>
  <c r="CY49" i="16"/>
  <c r="F49" i="16"/>
  <c r="CX49" i="16" s="1"/>
  <c r="CX52" i="16"/>
  <c r="F48" i="16"/>
  <c r="CX48" i="16" s="1"/>
  <c r="F47" i="16"/>
  <c r="CX47" i="16" s="1"/>
  <c r="F46" i="16"/>
  <c r="CX46" i="16" s="1"/>
  <c r="F45" i="16"/>
  <c r="CX45" i="16" s="1"/>
  <c r="F44" i="16"/>
  <c r="F43" i="16"/>
  <c r="CX43" i="16" s="1"/>
  <c r="F42" i="16"/>
  <c r="CX42" i="16" s="1"/>
  <c r="F41" i="16"/>
  <c r="CX41" i="16" s="1"/>
  <c r="F40" i="16"/>
  <c r="CX40" i="16" s="1"/>
  <c r="F39" i="16"/>
  <c r="F38" i="16"/>
  <c r="CX38" i="16" s="1"/>
  <c r="F37" i="16"/>
  <c r="CX37" i="16" s="1"/>
  <c r="F36" i="16"/>
  <c r="CX36" i="16" s="1"/>
  <c r="F35" i="16"/>
  <c r="CX35" i="16" s="1"/>
  <c r="F34" i="16"/>
  <c r="F33" i="16"/>
  <c r="CX33" i="16" s="1"/>
  <c r="F32" i="16"/>
  <c r="F31" i="16"/>
  <c r="F29" i="16"/>
  <c r="CX29" i="16" s="1"/>
  <c r="F28" i="16"/>
  <c r="F27" i="16"/>
  <c r="CX27" i="16" s="1"/>
  <c r="F24" i="16"/>
  <c r="CX24" i="16" s="1"/>
  <c r="F23" i="16"/>
  <c r="F22" i="16"/>
  <c r="CX22" i="16" s="1"/>
  <c r="F21" i="16"/>
  <c r="CX21" i="16" s="1"/>
  <c r="F20" i="16"/>
  <c r="CX20" i="16" s="1"/>
  <c r="CX19" i="16"/>
  <c r="F18" i="16"/>
  <c r="CX18" i="16" s="1"/>
  <c r="F17" i="16"/>
  <c r="CX17" i="16" s="1"/>
  <c r="F16" i="16"/>
  <c r="CX16" i="16" s="1"/>
  <c r="F15" i="16"/>
  <c r="CX15" i="16" s="1"/>
  <c r="F14" i="16"/>
  <c r="CX14" i="16" s="1"/>
  <c r="F12" i="16"/>
  <c r="CX12" i="16" s="1"/>
  <c r="CZ52" i="16"/>
  <c r="CY52" i="16"/>
  <c r="CZ48" i="16"/>
  <c r="CY48" i="16"/>
  <c r="CZ47" i="16"/>
  <c r="CY47" i="16"/>
  <c r="CZ46" i="16"/>
  <c r="CY46" i="16"/>
  <c r="CZ45" i="16"/>
  <c r="CY45" i="16"/>
  <c r="CZ44" i="16"/>
  <c r="CY44" i="16"/>
  <c r="CX44" i="16"/>
  <c r="CZ43" i="16"/>
  <c r="CY43" i="16"/>
  <c r="CZ42" i="16"/>
  <c r="CY42" i="16"/>
  <c r="CZ41" i="16"/>
  <c r="CY41" i="16"/>
  <c r="CZ40" i="16"/>
  <c r="CY40" i="16"/>
  <c r="CZ39" i="16"/>
  <c r="CY39" i="16"/>
  <c r="CX39" i="16"/>
  <c r="CZ38" i="16"/>
  <c r="CY38" i="16"/>
  <c r="CZ37" i="16"/>
  <c r="CY37" i="16"/>
  <c r="CZ36" i="16"/>
  <c r="CY36" i="16"/>
  <c r="CZ35" i="16"/>
  <c r="CY35" i="16"/>
  <c r="CZ34" i="16"/>
  <c r="CY34" i="16"/>
  <c r="CX34" i="16"/>
  <c r="CZ33" i="16"/>
  <c r="CY33" i="16"/>
  <c r="CZ32" i="16"/>
  <c r="CY32" i="16"/>
  <c r="CX32" i="16"/>
  <c r="CZ31" i="16"/>
  <c r="CY31" i="16"/>
  <c r="CX31" i="16"/>
  <c r="CZ30" i="16"/>
  <c r="CY30" i="16"/>
  <c r="CZ29" i="16"/>
  <c r="CY29" i="16"/>
  <c r="CZ28" i="16"/>
  <c r="CY28" i="16"/>
  <c r="CX28" i="16"/>
  <c r="CZ27" i="16"/>
  <c r="CY27" i="16"/>
  <c r="CY26" i="16"/>
  <c r="CY25" i="16"/>
  <c r="CZ24" i="16"/>
  <c r="CY24" i="16"/>
  <c r="CZ23" i="16"/>
  <c r="CY23" i="16"/>
  <c r="CX23" i="16"/>
  <c r="CZ22" i="16"/>
  <c r="CY22" i="16"/>
  <c r="CZ21" i="16"/>
  <c r="CY21" i="16"/>
  <c r="CZ20" i="16"/>
  <c r="CY20" i="16"/>
  <c r="CZ19" i="16"/>
  <c r="CY19" i="16"/>
  <c r="CZ18" i="16"/>
  <c r="CY18" i="16"/>
  <c r="CZ17" i="16"/>
  <c r="CY17" i="16"/>
  <c r="CZ16" i="16"/>
  <c r="CY16" i="16"/>
  <c r="CZ15" i="16"/>
  <c r="CY15" i="16"/>
  <c r="CZ14" i="16"/>
  <c r="CY14" i="16"/>
  <c r="CZ12" i="16"/>
  <c r="CY12" i="16"/>
  <c r="CY11" i="16"/>
  <c r="CY10" i="16"/>
  <c r="CY9" i="16"/>
  <c r="CY8" i="16"/>
  <c r="CY7" i="16"/>
  <c r="CY4" i="16"/>
  <c r="F4" i="16"/>
  <c r="F11" i="16"/>
  <c r="CX11" i="16" s="1"/>
  <c r="F10" i="16"/>
  <c r="CX10" i="16" s="1"/>
  <c r="F9" i="16"/>
  <c r="CX9" i="16" s="1"/>
  <c r="F8" i="16"/>
  <c r="CX8" i="16" s="1"/>
  <c r="F7" i="16"/>
  <c r="CX7" i="16" s="1"/>
  <c r="AK34" i="19" l="1"/>
  <c r="P34" i="19"/>
  <c r="D6" i="18" s="1"/>
  <c r="E6" i="18" s="1"/>
  <c r="D19" i="18"/>
  <c r="L34" i="19"/>
  <c r="D14" i="18" s="1"/>
  <c r="E14" i="18" s="1"/>
  <c r="AI34" i="19"/>
  <c r="D17" i="18"/>
  <c r="D16" i="18"/>
  <c r="E16" i="18" s="1"/>
  <c r="G34" i="19"/>
  <c r="D23" i="18" s="1"/>
  <c r="E23" i="18" s="1"/>
  <c r="AJ4" i="19"/>
  <c r="AJ34" i="19" s="1"/>
  <c r="AC34" i="19"/>
  <c r="AA34" i="19"/>
  <c r="E7" i="18"/>
  <c r="E9" i="18"/>
  <c r="E21" i="18"/>
  <c r="E3" i="18"/>
  <c r="E12" i="18"/>
  <c r="E28" i="18"/>
  <c r="E52" i="18"/>
  <c r="E40" i="18"/>
  <c r="E26" i="18"/>
  <c r="E24" i="18"/>
  <c r="E20" i="18"/>
  <c r="E27" i="18"/>
  <c r="E38" i="18"/>
  <c r="E39" i="18"/>
  <c r="E8" i="18"/>
  <c r="E11" i="18"/>
  <c r="E42" i="18"/>
  <c r="E10" i="18"/>
  <c r="M40" i="19"/>
  <c r="E25" i="18"/>
  <c r="E13" i="18"/>
  <c r="E15" i="18"/>
  <c r="E22" i="18"/>
  <c r="AH4" i="17"/>
  <c r="C4" i="18" s="1"/>
  <c r="E4" i="18" s="1"/>
  <c r="AH5" i="17"/>
  <c r="C5" i="18" s="1"/>
  <c r="E5" i="18" s="1"/>
  <c r="F5" i="16"/>
  <c r="I5" i="16" s="1"/>
  <c r="L5" i="16" s="1"/>
  <c r="O5" i="16" s="1"/>
  <c r="R5" i="16" s="1"/>
  <c r="CX5" i="16" s="1"/>
  <c r="CZ25" i="16"/>
  <c r="CZ26" i="16"/>
  <c r="CZ13" i="16"/>
  <c r="F13" i="16"/>
  <c r="CX13" i="16" s="1"/>
  <c r="CY5" i="16"/>
  <c r="CZ10" i="16"/>
  <c r="CY6" i="16"/>
  <c r="CZ7" i="16"/>
  <c r="CZ5" i="16"/>
  <c r="CZ9" i="16"/>
  <c r="CZ11" i="16"/>
  <c r="CZ4" i="16"/>
  <c r="CZ8" i="16"/>
  <c r="CZ6" i="16"/>
  <c r="F6" i="16"/>
  <c r="CX6" i="16" s="1"/>
  <c r="I4" i="16"/>
  <c r="L4" i="16" s="1"/>
  <c r="O4" i="16" s="1"/>
  <c r="E17" i="18" l="1"/>
  <c r="R4" i="16"/>
  <c r="U4" i="16" s="1"/>
  <c r="X4" i="16" s="1"/>
  <c r="AC4" i="16" s="1"/>
  <c r="AF4" i="16" s="1"/>
  <c r="AI4" i="16" s="1"/>
  <c r="AL4" i="16" s="1"/>
  <c r="AO4" i="16" s="1"/>
  <c r="AR4" i="16" s="1"/>
  <c r="AU4" i="16" s="1"/>
  <c r="AX4" i="16" s="1"/>
  <c r="CX4" i="16" s="1"/>
  <c r="E18" i="18" l="1"/>
  <c r="E19" i="18"/>
  <c r="AB34" i="19"/>
</calcChain>
</file>

<file path=xl/sharedStrings.xml><?xml version="1.0" encoding="utf-8"?>
<sst xmlns="http://schemas.openxmlformats.org/spreadsheetml/2006/main" count="590" uniqueCount="173">
  <si>
    <t>Date</t>
  </si>
  <si>
    <t>CBC</t>
  </si>
  <si>
    <t>BT CT</t>
  </si>
  <si>
    <t>MP ICT</t>
  </si>
  <si>
    <t>PT INR</t>
  </si>
  <si>
    <t>APTT</t>
  </si>
  <si>
    <t>URINE DR</t>
  </si>
  <si>
    <t>URINE PT</t>
  </si>
  <si>
    <t>BSR</t>
  </si>
  <si>
    <t>CRETININE</t>
  </si>
  <si>
    <t>LFT</t>
  </si>
  <si>
    <t>HBs ICT</t>
  </si>
  <si>
    <t>HCV ICT</t>
  </si>
  <si>
    <t>STD/HIV ICT</t>
  </si>
  <si>
    <t>VDRL</t>
  </si>
  <si>
    <t>RA</t>
  </si>
  <si>
    <t>ASOT</t>
  </si>
  <si>
    <t>DENGE NS1</t>
  </si>
  <si>
    <t>DENGE IGM</t>
  </si>
  <si>
    <t>URIC ACID</t>
  </si>
  <si>
    <t>HBA 1C</t>
  </si>
  <si>
    <t>S. CHOLESTROL</t>
  </si>
  <si>
    <t>S. CALCIUM</t>
  </si>
  <si>
    <t>S. AMYLYSIS</t>
  </si>
  <si>
    <t>CBC TUBES</t>
  </si>
  <si>
    <t>GEL TUBES</t>
  </si>
  <si>
    <t>PT TUBES</t>
  </si>
  <si>
    <t>TOTAL</t>
  </si>
  <si>
    <t>DENGUE NS1</t>
  </si>
  <si>
    <t>OPD</t>
  </si>
  <si>
    <t>PF</t>
  </si>
  <si>
    <t>DENGUE IGM</t>
  </si>
  <si>
    <t>INDORE</t>
  </si>
  <si>
    <t>PV</t>
  </si>
  <si>
    <t>MIX</t>
  </si>
  <si>
    <t>CSF</t>
  </si>
  <si>
    <t>S. ALBUMIN</t>
  </si>
  <si>
    <t>S.  AMYLYSIS</t>
  </si>
  <si>
    <t>H. Pylori</t>
  </si>
  <si>
    <t>UREA</t>
  </si>
  <si>
    <t>ABG S</t>
  </si>
  <si>
    <t>PT CUVETS</t>
  </si>
  <si>
    <t>PRINTER ROLL</t>
  </si>
  <si>
    <t>CBC PACK (M)</t>
  </si>
  <si>
    <t>GPT</t>
  </si>
  <si>
    <t>ALK</t>
  </si>
  <si>
    <t>UREA UV</t>
  </si>
  <si>
    <t>ANTI SERA SET</t>
  </si>
  <si>
    <t>Haprin Tube</t>
  </si>
  <si>
    <t>B. Group</t>
  </si>
  <si>
    <t>HIV ICT</t>
  </si>
  <si>
    <t xml:space="preserve">Body Fluid </t>
  </si>
  <si>
    <t>HBs ICT +VE</t>
  </si>
  <si>
    <t>HCV ICT +VE</t>
  </si>
  <si>
    <t>HIV ICT +VE</t>
  </si>
  <si>
    <t>VDRL +VE</t>
  </si>
  <si>
    <t>MP ICT +VE</t>
  </si>
  <si>
    <t>MALARIA ICT +VE</t>
  </si>
  <si>
    <t>HIV +VE</t>
  </si>
  <si>
    <t>DENGUE IgG/IGM</t>
  </si>
  <si>
    <t>DR. IRSA KHUWAJA</t>
  </si>
  <si>
    <t>INCHARGE PATHOLOGY DEPARTMENT</t>
  </si>
  <si>
    <t>GMMMC HOSPITAL SUKKUR</t>
  </si>
  <si>
    <t>ASO TITER</t>
  </si>
  <si>
    <t>HAPRIN TUBES</t>
  </si>
  <si>
    <t>HCV+VE</t>
  </si>
  <si>
    <t>HBSAG+VE</t>
  </si>
  <si>
    <t>T.G</t>
  </si>
  <si>
    <t>HDL</t>
  </si>
  <si>
    <t>LDL</t>
  </si>
  <si>
    <t>LIPID PROFILE</t>
  </si>
  <si>
    <t>HBA 1c</t>
  </si>
  <si>
    <t>ELECTROLYTES</t>
  </si>
  <si>
    <t>S. CUP</t>
  </si>
  <si>
    <t>Syring 5cc</t>
  </si>
  <si>
    <t>Description</t>
  </si>
  <si>
    <t>S.#</t>
  </si>
  <si>
    <t>Distild Water</t>
  </si>
  <si>
    <t>Pricker</t>
  </si>
  <si>
    <t>CBC Roll</t>
  </si>
  <si>
    <t>Latex Gloves</t>
  </si>
  <si>
    <t>Total Biluribin</t>
  </si>
  <si>
    <t>Direct Biluribin</t>
  </si>
  <si>
    <t xml:space="preserve">MONTHLY STOCK RECIVED &amp; PERFORMED STATEMENT SHOWING PATHOLOGY DEPARTMENT                                                                                                                                                                                                      GHULAM MUHAMMAD MAHAR MEDICAL COLLEGE SUKKUR 
MONTH OF APRIL 2026 </t>
  </si>
  <si>
    <t>Test</t>
  </si>
  <si>
    <t>Avaible</t>
  </si>
  <si>
    <t>Indent</t>
  </si>
  <si>
    <t>Total Monthly Report</t>
  </si>
  <si>
    <t>Avaible Balance</t>
  </si>
  <si>
    <t>Cotton Roll</t>
  </si>
  <si>
    <t>Yellow Tips</t>
  </si>
  <si>
    <t>Billue Tips</t>
  </si>
  <si>
    <t xml:space="preserve">MONTHLY STOCK RECIVED &amp; PERFORMED STATEMENT SHOWING PATHOLOGY DEPARTMENT                                                                                                                                                                                                                                    GHULAM MUHAMMAD MAHAR MEDICAL COLLEGE SUKKUR 
MONTH OF APRIL 2026 </t>
  </si>
  <si>
    <t>Total</t>
  </si>
  <si>
    <t>Urine Container</t>
  </si>
  <si>
    <t>Test Tube Plastic</t>
  </si>
  <si>
    <t>Slide Box</t>
  </si>
  <si>
    <t>Balance</t>
  </si>
  <si>
    <t>H.S Normal Control</t>
  </si>
  <si>
    <t>Total Indent</t>
  </si>
  <si>
    <t>Test Perfomance</t>
  </si>
  <si>
    <t>ABDUL SAMI SOOMRO</t>
  </si>
  <si>
    <t>INCHARGE LAB TECH:</t>
  </si>
  <si>
    <t>MONTHLY POSITIVE CASES STATEMENT SHOWING PATHOLOGY DEPARTMENT                                                                                            GHULAM MUHAMMAD MAHAR MEDICAL COLLEGE HOSPITAL SUKKUR                                                                                                                                                                                   MONTH OF MAY 2026</t>
  </si>
  <si>
    <t xml:space="preserve">MONTHLY STOCK RECIVED &amp; PERFORMED STATEMENT SHOWING PATHOLOGY DEPARTMENT                                                                                                                                                                                                      GHULAM MUHAMMAD MAHAR MEDICAL COLLEGE SUKKUR 
MONTH OF MAY 2026 </t>
  </si>
  <si>
    <t xml:space="preserve">MONTHLY TEST PERFORMED STATEMENT SHOWING PATHOLOGY DEPARTMENT MORNING EVENING AND NIGHT SHIFT 
GHULAM MUHAMMAD MAHAR MEDICAL COLLEGE SUKKUR 
MONTH OF JUNE 2026 </t>
  </si>
  <si>
    <t xml:space="preserve">MONTHLY STOCK RECIVED STATEMENT SHOWING PATHOLOGY DEPARTMENT                                                                                                                                                                                                                                                                                                                                                                                                                                GHULAM MUHAMMAD MAHAR MEDICAL COLLEGE SUKKUR 
MONTH OF JUNE 2026 </t>
  </si>
  <si>
    <t>01-06-2026</t>
  </si>
  <si>
    <t>02-06-2026</t>
  </si>
  <si>
    <t>03-06-2026</t>
  </si>
  <si>
    <t>04-06-2026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</si>
  <si>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</si>
  <si>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</si>
  <si>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</si>
  <si>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</si>
  <si>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</si>
  <si>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</si>
  <si>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</si>
  <si>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</si>
  <si>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</si>
  <si>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</si>
  <si>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</si>
  <si>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</si>
  <si>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</si>
  <si>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</si>
  <si>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</si>
  <si>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</si>
  <si>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</si>
  <si>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</si>
  <si>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</si>
  <si>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</si>
  <si>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</si>
  <si>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</si>
  <si>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</si>
  <si>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</si>
  <si>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</si>
  <si>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05-06-2026</t>
  </si>
  <si>
    <t>SGPT</t>
  </si>
  <si>
    <t>ALKALINE</t>
  </si>
  <si>
    <t>Date: 01-06-2026</t>
  </si>
  <si>
    <t>Date: 02-06-2026</t>
  </si>
  <si>
    <t>Date: 03-06-2026</t>
  </si>
  <si>
    <t>Date: 04-06-2026</t>
  </si>
  <si>
    <t>Date: 06-06-2026</t>
  </si>
  <si>
    <t>Date: 07-06-2026</t>
  </si>
  <si>
    <t>Date: 08-06-2026</t>
  </si>
  <si>
    <t>Date: 05-06-2026</t>
  </si>
  <si>
    <t>Date: 09-06-2026</t>
  </si>
  <si>
    <t>Date: 10-06-2026</t>
  </si>
  <si>
    <t>Date: 11-06-2026</t>
  </si>
  <si>
    <t>Date: 12-06-2026</t>
  </si>
  <si>
    <t>Date: 13-06-2026</t>
  </si>
  <si>
    <t>Date: 14-06-2026</t>
  </si>
  <si>
    <t>Date: 15-06-2026</t>
  </si>
  <si>
    <t>Date: 16-06-2026</t>
  </si>
  <si>
    <t>Date: 17-06-2026</t>
  </si>
  <si>
    <t>Date: 18-06-2026</t>
  </si>
  <si>
    <t>Date: 19-06-2026</t>
  </si>
  <si>
    <t>Date: 20-06-2026</t>
  </si>
  <si>
    <t>Date: 21-06-2026</t>
  </si>
  <si>
    <t>Date: 22-06-2026</t>
  </si>
  <si>
    <t>Date: 23-06-2026</t>
  </si>
  <si>
    <t>Date: 24-06-2026</t>
  </si>
  <si>
    <t>Date: 25-06-2026</t>
  </si>
  <si>
    <t>Date: 26-06-2026</t>
  </si>
  <si>
    <t>Date: 27-06-2026</t>
  </si>
  <si>
    <t>Date: 28-06-2026</t>
  </si>
  <si>
    <t>Date: 29-06-2026</t>
  </si>
  <si>
    <t>Date: 30-06-2026</t>
  </si>
  <si>
    <t>Date: 31-06-2026</t>
  </si>
  <si>
    <t>S.  AMYLASE</t>
  </si>
  <si>
    <t>Blue Tips</t>
  </si>
  <si>
    <t>Cover Slips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</si>
</sst>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1F1F1F"/>
      <name val="Arial"/>
      <family val="2"/>
    </font>
    <font>
      <b/>
      <sz val="10"/>
      <color rgb="FF1F1F1F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rgb="FFC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0.5"/>
      <color rgb="FF1F1F1F"/>
      <name val="Arial"/>
      <family val="2"/>
    </font>
    <font>
      <sz val="13"/>
      <color theme="1"/>
      <name val="Arial"/>
      <family val="2"/>
    </font>
    <font>
      <sz val="14"/>
      <color theme="1"/>
      <name val="Calibri"/>
      <family val="2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5"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5" xfId="0" applyFont="1" applyBorder="1" applyAlignment="1"/>
    <xf numFmtId="0" fontId="6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vertical="center"/>
    </xf>
    <xf numFmtId="0" fontId="5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readingOrder="1"/>
    </xf>
    <xf numFmtId="0" fontId="0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/>
    <xf numFmtId="0" fontId="1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9" xfId="3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/>
    </xf>
    <xf numFmtId="0" fontId="0" fillId="0" borderId="0" xfId="0" applyFont="1" applyAlignment="1"/>
    <xf numFmtId="0" fontId="6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0" fillId="0" borderId="9" xfId="0" applyFont="1" applyBorder="1" applyAlignment="1"/>
    <xf numFmtId="0" fontId="6" fillId="0" borderId="9" xfId="0" applyFont="1" applyBorder="1" applyAlignment="1">
      <alignment horizontal="center" vertical="center"/>
    </xf>
    <xf numFmtId="0" fontId="0" fillId="0" borderId="0" xfId="0" applyFont="1" applyAlignment="1"/>
    <xf numFmtId="0" fontId="6" fillId="0" borderId="9" xfId="0" applyFont="1" applyBorder="1" applyAlignment="1">
      <alignment horizontal="center" vertical="center"/>
    </xf>
    <xf numFmtId="0" fontId="0" fillId="0" borderId="0" xfId="0" applyFont="1" applyAlignment="1"/>
    <xf numFmtId="1" fontId="7" fillId="0" borderId="1" xfId="0" applyNumberFormat="1" applyFont="1" applyBorder="1" applyAlignment="1">
      <alignment horizontal="center" vertical="center"/>
    </xf>
    <xf numFmtId="0" fontId="19" fillId="0" borderId="0" xfId="0" applyFont="1" applyAlignment="1"/>
    <xf numFmtId="0" fontId="20" fillId="0" borderId="9" xfId="3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8" fillId="0" borderId="11" xfId="0" applyFont="1" applyBorder="1" applyAlignment="1">
      <alignment vertical="center"/>
    </xf>
    <xf numFmtId="0" fontId="0" fillId="0" borderId="0" xfId="0" applyFont="1" applyAlignment="1"/>
    <xf numFmtId="0" fontId="0" fillId="0" borderId="0" xfId="0" applyFont="1" applyAlignment="1"/>
    <xf numFmtId="0" fontId="21" fillId="0" borderId="9" xfId="3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center" vertical="center" wrapText="1" readingOrder="1"/>
    </xf>
    <xf numFmtId="0" fontId="0" fillId="0" borderId="0" xfId="0" applyFont="1" applyAlignment="1"/>
    <xf numFmtId="0" fontId="18" fillId="0" borderId="9" xfId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0" xfId="0" applyFont="1" applyAlignment="1"/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" fontId="0" fillId="0" borderId="0" xfId="0" applyNumberFormat="1" applyFont="1" applyAlignment="1"/>
    <xf numFmtId="0" fontId="10" fillId="0" borderId="12" xfId="0" applyFont="1" applyBorder="1" applyAlignment="1">
      <alignment horizontal="center" vertical="center" readingOrder="1"/>
    </xf>
    <xf numFmtId="0" fontId="22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6" fillId="0" borderId="9" xfId="0" applyFont="1" applyBorder="1" applyAlignment="1">
      <alignment horizontal="center" vertical="center"/>
    </xf>
    <xf numFmtId="1" fontId="23" fillId="0" borderId="0" xfId="0" applyNumberFormat="1" applyFont="1" applyAlignment="1"/>
    <xf numFmtId="0" fontId="24" fillId="0" borderId="0" xfId="0" applyFont="1" applyAlignment="1">
      <alignment horizontal="right" vertical="center"/>
    </xf>
    <xf numFmtId="0" fontId="0" fillId="0" borderId="0" xfId="0" applyFont="1" applyBorder="1" applyAlignment="1"/>
    <xf numFmtId="0" fontId="25" fillId="0" borderId="3" xfId="0" applyFont="1" applyBorder="1" applyAlignment="1">
      <alignment horizontal="center" vertical="center" wrapText="1" readingOrder="1"/>
    </xf>
    <xf numFmtId="0" fontId="25" fillId="0" borderId="3" xfId="0" applyFont="1" applyBorder="1" applyAlignment="1">
      <alignment horizontal="center" vertical="center" readingOrder="1"/>
    </xf>
    <xf numFmtId="14" fontId="10" fillId="0" borderId="1" xfId="0" quotePrefix="1" applyNumberFormat="1" applyFont="1" applyBorder="1" applyAlignment="1">
      <alignment horizontal="center" vertical="center" wrapText="1" readingOrder="1"/>
    </xf>
    <xf numFmtId="0" fontId="9" fillId="0" borderId="0" xfId="0" applyFont="1" applyBorder="1" applyAlignment="1">
      <alignment vertical="center" wrapText="1"/>
    </xf>
    <xf numFmtId="0" fontId="26" fillId="0" borderId="9" xfId="3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/>
    </xf>
    <xf numFmtId="0" fontId="28" fillId="0" borderId="9" xfId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 readingOrder="1"/>
    </xf>
    <xf numFmtId="1" fontId="10" fillId="0" borderId="1" xfId="0" applyNumberFormat="1" applyFont="1" applyBorder="1" applyAlignment="1">
      <alignment horizontal="center" vertical="center" wrapText="1" readingOrder="1"/>
    </xf>
    <xf numFmtId="1" fontId="7" fillId="3" borderId="1" xfId="0" applyNumberFormat="1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9" fillId="0" borderId="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6" xfId="0" applyFont="1" applyBorder="1" applyAlignment="1"/>
    <xf numFmtId="0" fontId="0" fillId="0" borderId="4" xfId="0" applyFont="1" applyBorder="1" applyAlignment="1"/>
    <xf numFmtId="0" fontId="0" fillId="0" borderId="0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27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8" fillId="0" borderId="9" xfId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31" fillId="0" borderId="3" xfId="0" applyNumberFormat="1" applyFont="1" applyBorder="1" applyAlignment="1">
      <alignment horizontal="center" vertical="center" wrapText="1" readingOrder="1"/>
    </xf>
    <xf numFmtId="1" fontId="31" fillId="0" borderId="4" xfId="0" applyNumberFormat="1" applyFont="1" applyBorder="1" applyAlignment="1">
      <alignment horizontal="center" vertical="center" wrapText="1" readingOrder="1"/>
    </xf>
    <xf numFmtId="0" fontId="31" fillId="0" borderId="1" xfId="0" applyFont="1" applyBorder="1" applyAlignment="1">
      <alignment horizontal="center" vertical="center" wrapText="1" readingOrder="1"/>
    </xf>
    <xf numFmtId="0" fontId="31" fillId="0" borderId="12" xfId="0" applyFont="1" applyBorder="1" applyAlignment="1">
      <alignment horizontal="center" vertical="center" wrapText="1" readingOrder="1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43"/>
  <sheetViews>
    <sheetView tabSelected="1" view="pageBreakPreview" zoomScale="90" zoomScaleNormal="70" zoomScaleSheetLayoutView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H1"/>
    </sheetView>
  </sheetViews>
  <sheetFormatPr defaultColWidth="14.42578125" defaultRowHeight="15" customHeight="1" x14ac:dyDescent="0.25"/>
  <cols>
    <col min="1" max="1" width="12.42578125" style="63" customWidth="1"/>
    <col min="2" max="2" width="6.7109375" style="63" customWidth="1"/>
    <col min="3" max="3" width="8" style="63" customWidth="1"/>
    <col min="4" max="4" width="8.140625" style="63" customWidth="1"/>
    <col min="5" max="5" width="8.5703125" style="63" customWidth="1"/>
    <col min="6" max="6" width="7.85546875" style="63" customWidth="1"/>
    <col min="7" max="7" width="6.140625" style="63" customWidth="1"/>
    <col min="8" max="8" width="12" style="63" customWidth="1"/>
    <col min="9" max="9" width="9.7109375" style="63" customWidth="1"/>
    <col min="10" max="10" width="5.5703125" style="63" customWidth="1"/>
    <col min="11" max="11" width="5.85546875" style="63" customWidth="1"/>
    <col min="12" max="12" width="10" style="63" customWidth="1"/>
    <col min="13" max="13" width="6.42578125" style="63" customWidth="1"/>
    <col min="14" max="14" width="13" style="63" customWidth="1"/>
    <col min="15" max="15" width="8.28515625" style="63" customWidth="1"/>
    <col min="16" max="16" width="8.140625" style="63" customWidth="1"/>
    <col min="17" max="17" width="8" style="63" customWidth="1"/>
    <col min="18" max="18" width="8.5703125" style="63" customWidth="1"/>
    <col min="19" max="19" width="5.85546875" style="63" customWidth="1"/>
    <col min="20" max="20" width="4.42578125" style="63" customWidth="1"/>
    <col min="21" max="21" width="6.28515625" style="63" customWidth="1"/>
    <col min="22" max="22" width="7" style="63" customWidth="1"/>
    <col min="23" max="23" width="6.85546875" style="63" customWidth="1"/>
    <col min="24" max="24" width="5.5703125" style="63" customWidth="1"/>
    <col min="25" max="25" width="5.42578125" style="63" customWidth="1"/>
    <col min="26" max="26" width="13.140625" style="63" customWidth="1"/>
    <col min="27" max="27" width="4.85546875" style="63" customWidth="1"/>
    <col min="28" max="29" width="5" style="63" customWidth="1"/>
    <col min="30" max="30" width="9.7109375" style="63" customWidth="1"/>
    <col min="31" max="31" width="10.28515625" style="63" customWidth="1"/>
    <col min="32" max="32" width="9.28515625" style="63" customWidth="1"/>
    <col min="33" max="33" width="5.5703125" style="63" bestFit="1" customWidth="1"/>
    <col min="34" max="34" width="6.85546875" style="63" bestFit="1" customWidth="1"/>
    <col min="35" max="35" width="7.28515625" style="63" customWidth="1"/>
    <col min="36" max="37" width="7.140625" style="63" customWidth="1"/>
    <col min="38" max="38" width="7.5703125" style="2" customWidth="1"/>
    <col min="39" max="39" width="12.28515625" style="2" customWidth="1"/>
    <col min="40" max="45" width="9.42578125" style="63" customWidth="1"/>
    <col min="46" max="46" width="9.42578125" style="72" customWidth="1"/>
    <col min="47" max="49" width="9.42578125" style="63" customWidth="1"/>
    <col min="50" max="16384" width="14.42578125" style="63"/>
  </cols>
  <sheetData>
    <row r="1" spans="1:49" ht="56.25" customHeight="1" x14ac:dyDescent="0.25">
      <c r="A1" s="95" t="s">
        <v>105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80"/>
      <c r="AJ1" s="80"/>
      <c r="AK1" s="80"/>
      <c r="AL1" s="80"/>
      <c r="AM1" s="99" t="s">
        <v>103</v>
      </c>
      <c r="AN1" s="99"/>
      <c r="AO1" s="99"/>
      <c r="AP1" s="99"/>
      <c r="AQ1" s="99"/>
      <c r="AR1" s="99"/>
      <c r="AS1" s="99"/>
      <c r="AT1" s="99"/>
      <c r="AU1" s="99"/>
      <c r="AV1" s="99"/>
      <c r="AW1" s="99"/>
    </row>
    <row r="2" spans="1:49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20"/>
      <c r="Z2" s="100" t="s">
        <v>70</v>
      </c>
      <c r="AA2" s="101"/>
      <c r="AB2" s="101"/>
      <c r="AC2" s="102"/>
      <c r="AD2" s="21"/>
      <c r="AE2" s="64"/>
      <c r="AF2" s="64"/>
      <c r="AG2" s="64"/>
      <c r="AH2" s="64"/>
      <c r="AI2" s="64"/>
      <c r="AJ2" s="64"/>
      <c r="AK2" s="64"/>
      <c r="AL2" s="64"/>
      <c r="AM2" s="64"/>
      <c r="AN2" s="65"/>
      <c r="AO2" s="66"/>
      <c r="AP2" s="66"/>
      <c r="AQ2" s="66"/>
      <c r="AR2" s="8"/>
      <c r="AS2" s="8"/>
      <c r="AT2" s="8"/>
    </row>
    <row r="3" spans="1:49" ht="38.25" x14ac:dyDescent="0.25">
      <c r="A3" s="11" t="s">
        <v>0</v>
      </c>
      <c r="B3" s="12" t="s">
        <v>1</v>
      </c>
      <c r="C3" s="12" t="s">
        <v>2</v>
      </c>
      <c r="D3" s="12" t="s">
        <v>3</v>
      </c>
      <c r="E3" s="12" t="s">
        <v>38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39</v>
      </c>
      <c r="L3" s="19" t="s">
        <v>9</v>
      </c>
      <c r="M3" s="12" t="s">
        <v>10</v>
      </c>
      <c r="N3" s="22" t="s">
        <v>72</v>
      </c>
      <c r="O3" s="12" t="s">
        <v>11</v>
      </c>
      <c r="P3" s="12" t="s">
        <v>12</v>
      </c>
      <c r="Q3" s="12" t="s">
        <v>50</v>
      </c>
      <c r="R3" s="12" t="s">
        <v>49</v>
      </c>
      <c r="S3" s="12" t="s">
        <v>14</v>
      </c>
      <c r="T3" s="12" t="s">
        <v>15</v>
      </c>
      <c r="U3" s="12" t="s">
        <v>63</v>
      </c>
      <c r="V3" s="12" t="s">
        <v>17</v>
      </c>
      <c r="W3" s="12" t="s">
        <v>18</v>
      </c>
      <c r="X3" s="12" t="s">
        <v>19</v>
      </c>
      <c r="Y3" s="12" t="s">
        <v>71</v>
      </c>
      <c r="Z3" s="12" t="s">
        <v>21</v>
      </c>
      <c r="AA3" s="12" t="s">
        <v>67</v>
      </c>
      <c r="AB3" s="12" t="s">
        <v>68</v>
      </c>
      <c r="AC3" s="12" t="s">
        <v>69</v>
      </c>
      <c r="AD3" s="12" t="s">
        <v>22</v>
      </c>
      <c r="AE3" s="12" t="s">
        <v>23</v>
      </c>
      <c r="AF3" s="12" t="s">
        <v>36</v>
      </c>
      <c r="AG3" s="12" t="s">
        <v>51</v>
      </c>
      <c r="AH3" s="12" t="s">
        <v>40</v>
      </c>
      <c r="AI3" s="12" t="s">
        <v>24</v>
      </c>
      <c r="AJ3" s="12" t="s">
        <v>25</v>
      </c>
      <c r="AK3" s="12" t="s">
        <v>26</v>
      </c>
      <c r="AL3" s="12" t="s">
        <v>64</v>
      </c>
      <c r="AM3" s="11" t="s">
        <v>0</v>
      </c>
      <c r="AN3" s="3" t="s">
        <v>52</v>
      </c>
      <c r="AO3" s="3" t="s">
        <v>53</v>
      </c>
      <c r="AP3" s="3" t="s">
        <v>54</v>
      </c>
      <c r="AQ3" s="3" t="s">
        <v>55</v>
      </c>
      <c r="AR3" s="3" t="s">
        <v>28</v>
      </c>
      <c r="AS3" s="3" t="s">
        <v>59</v>
      </c>
      <c r="AT3" s="3" t="s">
        <v>56</v>
      </c>
      <c r="AU3" s="3" t="s">
        <v>33</v>
      </c>
      <c r="AV3" s="3" t="s">
        <v>30</v>
      </c>
      <c r="AW3" s="3" t="s">
        <v>34</v>
      </c>
    </row>
    <row r="4" spans="1:49" ht="30" customHeight="1" x14ac:dyDescent="0.25">
      <c r="A4" s="79" t="s">
        <v>107</v>
      </c>
      <c r="B4" s="12">
        <v>346</v>
      </c>
      <c r="C4" s="12">
        <v>8</v>
      </c>
      <c r="D4" s="12">
        <v>105</v>
      </c>
      <c r="E4" s="12">
        <v>7</v>
      </c>
      <c r="F4" s="12">
        <v>42</v>
      </c>
      <c r="G4" s="13">
        <f t="shared" ref="G4:G33" si="0">F4</f>
        <v>42</v>
      </c>
      <c r="H4" s="12">
        <v>10</v>
      </c>
      <c r="I4" s="12">
        <v>1</v>
      </c>
      <c r="J4" s="12">
        <v>92</v>
      </c>
      <c r="K4" s="12">
        <v>172</v>
      </c>
      <c r="L4" s="12">
        <f t="shared" ref="L4:L33" si="1">K4</f>
        <v>172</v>
      </c>
      <c r="M4" s="12">
        <v>192</v>
      </c>
      <c r="N4" s="12">
        <v>112</v>
      </c>
      <c r="O4" s="12">
        <v>330</v>
      </c>
      <c r="P4" s="12">
        <v>330</v>
      </c>
      <c r="Q4" s="12">
        <v>45</v>
      </c>
      <c r="R4" s="12">
        <v>6</v>
      </c>
      <c r="S4" s="12">
        <v>33</v>
      </c>
      <c r="T4" s="12">
        <v>8</v>
      </c>
      <c r="U4" s="12">
        <v>0</v>
      </c>
      <c r="V4" s="12">
        <v>5</v>
      </c>
      <c r="W4" s="12">
        <v>0</v>
      </c>
      <c r="X4" s="12">
        <v>15</v>
      </c>
      <c r="Y4" s="13">
        <v>0</v>
      </c>
      <c r="Z4" s="13">
        <v>10</v>
      </c>
      <c r="AA4" s="13">
        <f t="shared" ref="AA4:AA33" si="2">Z4</f>
        <v>10</v>
      </c>
      <c r="AB4" s="13">
        <f>Z4</f>
        <v>10</v>
      </c>
      <c r="AC4" s="13">
        <f>Z4</f>
        <v>10</v>
      </c>
      <c r="AD4" s="13">
        <v>15</v>
      </c>
      <c r="AE4" s="13">
        <v>8</v>
      </c>
      <c r="AF4" s="13">
        <v>45</v>
      </c>
      <c r="AG4" s="13">
        <v>0</v>
      </c>
      <c r="AH4" s="13">
        <v>18</v>
      </c>
      <c r="AI4" s="89">
        <f>B4+15</f>
        <v>361</v>
      </c>
      <c r="AJ4" s="89">
        <f>AI4/100*70</f>
        <v>252.7</v>
      </c>
      <c r="AK4" s="13">
        <f>G4+5</f>
        <v>47</v>
      </c>
      <c r="AL4" s="34">
        <f>2+AH4</f>
        <v>20</v>
      </c>
      <c r="AM4" s="79" t="s">
        <v>107</v>
      </c>
      <c r="AN4" s="4">
        <v>4</v>
      </c>
      <c r="AO4" s="4">
        <v>9</v>
      </c>
      <c r="AP4" s="4"/>
      <c r="AQ4" s="4"/>
      <c r="AR4" s="4"/>
      <c r="AS4" s="4"/>
      <c r="AT4" s="4"/>
      <c r="AU4" s="4"/>
      <c r="AV4" s="4"/>
      <c r="AW4" s="4"/>
    </row>
    <row r="5" spans="1:49" ht="30" customHeight="1" x14ac:dyDescent="0.25">
      <c r="A5" s="79" t="s">
        <v>108</v>
      </c>
      <c r="B5" s="12">
        <v>341</v>
      </c>
      <c r="C5" s="12">
        <v>8</v>
      </c>
      <c r="D5" s="12">
        <v>116</v>
      </c>
      <c r="E5" s="12">
        <v>10</v>
      </c>
      <c r="F5" s="12">
        <v>45</v>
      </c>
      <c r="G5" s="13">
        <f t="shared" si="0"/>
        <v>45</v>
      </c>
      <c r="H5" s="12">
        <v>16</v>
      </c>
      <c r="I5" s="12">
        <v>1</v>
      </c>
      <c r="J5" s="12">
        <v>78</v>
      </c>
      <c r="K5" s="12">
        <v>192</v>
      </c>
      <c r="L5" s="12">
        <f t="shared" si="1"/>
        <v>192</v>
      </c>
      <c r="M5" s="12">
        <v>210</v>
      </c>
      <c r="N5" s="12">
        <v>110</v>
      </c>
      <c r="O5" s="12">
        <v>327</v>
      </c>
      <c r="P5" s="12">
        <v>327</v>
      </c>
      <c r="Q5" s="12">
        <v>51</v>
      </c>
      <c r="R5" s="12">
        <v>10</v>
      </c>
      <c r="S5" s="12">
        <v>27</v>
      </c>
      <c r="T5" s="12">
        <v>10</v>
      </c>
      <c r="U5" s="12">
        <v>0</v>
      </c>
      <c r="V5" s="12">
        <v>12</v>
      </c>
      <c r="W5" s="12">
        <v>0</v>
      </c>
      <c r="X5" s="12">
        <v>15</v>
      </c>
      <c r="Y5" s="13">
        <v>0</v>
      </c>
      <c r="Z5" s="13">
        <v>11</v>
      </c>
      <c r="AA5" s="13">
        <f t="shared" si="2"/>
        <v>11</v>
      </c>
      <c r="AB5" s="13">
        <f>Z5</f>
        <v>11</v>
      </c>
      <c r="AC5" s="13">
        <f>Z5</f>
        <v>11</v>
      </c>
      <c r="AD5" s="13">
        <v>9</v>
      </c>
      <c r="AE5" s="13">
        <v>7</v>
      </c>
      <c r="AF5" s="13">
        <v>42</v>
      </c>
      <c r="AG5" s="13">
        <v>0</v>
      </c>
      <c r="AH5" s="13">
        <v>15</v>
      </c>
      <c r="AI5" s="89">
        <f t="shared" ref="AI5:AI20" si="3">B5+15</f>
        <v>356</v>
      </c>
      <c r="AJ5" s="89">
        <f t="shared" ref="AJ5:AJ20" si="4">AI5/100*70</f>
        <v>249.20000000000002</v>
      </c>
      <c r="AK5" s="13">
        <f t="shared" ref="AK5:AK33" si="5">G5+5</f>
        <v>50</v>
      </c>
      <c r="AL5" s="34">
        <f t="shared" ref="AL5:AL33" si="6">2+AH5</f>
        <v>17</v>
      </c>
      <c r="AM5" s="79" t="s">
        <v>108</v>
      </c>
      <c r="AN5" s="4">
        <v>3</v>
      </c>
      <c r="AO5" s="4">
        <v>6</v>
      </c>
      <c r="AP5" s="4"/>
      <c r="AQ5" s="4"/>
      <c r="AR5" s="4"/>
      <c r="AS5" s="4"/>
      <c r="AT5" s="4"/>
      <c r="AU5" s="4"/>
      <c r="AV5" s="4"/>
      <c r="AW5" s="4"/>
    </row>
    <row r="6" spans="1:49" ht="30" customHeight="1" x14ac:dyDescent="0.25">
      <c r="A6" s="79" t="s">
        <v>109</v>
      </c>
      <c r="B6" s="12">
        <v>337</v>
      </c>
      <c r="C6" s="12">
        <v>10</v>
      </c>
      <c r="D6" s="12">
        <v>100</v>
      </c>
      <c r="E6" s="12">
        <v>10</v>
      </c>
      <c r="F6" s="12">
        <v>38</v>
      </c>
      <c r="G6" s="13">
        <f t="shared" si="0"/>
        <v>38</v>
      </c>
      <c r="H6" s="12">
        <v>0</v>
      </c>
      <c r="I6" s="12">
        <v>0</v>
      </c>
      <c r="J6" s="12">
        <v>87</v>
      </c>
      <c r="K6" s="12">
        <v>198</v>
      </c>
      <c r="L6" s="12">
        <f t="shared" si="1"/>
        <v>198</v>
      </c>
      <c r="M6" s="12">
        <v>218</v>
      </c>
      <c r="N6" s="12">
        <v>95</v>
      </c>
      <c r="O6" s="12">
        <v>281</v>
      </c>
      <c r="P6" s="12">
        <v>281</v>
      </c>
      <c r="Q6" s="12">
        <v>42</v>
      </c>
      <c r="R6" s="12">
        <v>7</v>
      </c>
      <c r="S6" s="12">
        <v>26</v>
      </c>
      <c r="T6" s="12">
        <v>10</v>
      </c>
      <c r="U6" s="12">
        <v>0</v>
      </c>
      <c r="V6" s="12">
        <v>10</v>
      </c>
      <c r="W6" s="12">
        <v>0</v>
      </c>
      <c r="X6" s="12">
        <v>18</v>
      </c>
      <c r="Y6" s="13">
        <v>0</v>
      </c>
      <c r="Z6" s="13">
        <v>10</v>
      </c>
      <c r="AA6" s="13">
        <f t="shared" si="2"/>
        <v>10</v>
      </c>
      <c r="AB6" s="13">
        <f t="shared" ref="AB6:AC33" si="7">AA6</f>
        <v>10</v>
      </c>
      <c r="AC6" s="13">
        <f t="shared" si="7"/>
        <v>10</v>
      </c>
      <c r="AD6" s="13">
        <v>15</v>
      </c>
      <c r="AE6" s="13">
        <v>10</v>
      </c>
      <c r="AF6" s="13">
        <v>38</v>
      </c>
      <c r="AG6" s="13">
        <v>0</v>
      </c>
      <c r="AH6" s="13">
        <v>18</v>
      </c>
      <c r="AI6" s="89">
        <f t="shared" si="3"/>
        <v>352</v>
      </c>
      <c r="AJ6" s="89">
        <f t="shared" si="4"/>
        <v>246.4</v>
      </c>
      <c r="AK6" s="13">
        <f t="shared" si="5"/>
        <v>43</v>
      </c>
      <c r="AL6" s="34">
        <f t="shared" si="6"/>
        <v>20</v>
      </c>
      <c r="AM6" s="79" t="s">
        <v>109</v>
      </c>
      <c r="AN6" s="4">
        <v>3</v>
      </c>
      <c r="AO6" s="4">
        <v>11</v>
      </c>
      <c r="AP6" s="4"/>
      <c r="AQ6" s="4"/>
      <c r="AR6" s="4"/>
      <c r="AS6" s="4"/>
      <c r="AT6" s="4"/>
      <c r="AU6" s="4"/>
      <c r="AV6" s="4"/>
      <c r="AW6" s="4"/>
    </row>
    <row r="7" spans="1:49" ht="30" customHeight="1" x14ac:dyDescent="0.25">
      <c r="A7" s="79" t="s">
        <v>110</v>
      </c>
      <c r="B7" s="12">
        <v>345</v>
      </c>
      <c r="C7" s="12">
        <v>10</v>
      </c>
      <c r="D7" s="12">
        <v>105</v>
      </c>
      <c r="E7" s="12">
        <v>8</v>
      </c>
      <c r="F7" s="12">
        <v>45</v>
      </c>
      <c r="G7" s="13">
        <f t="shared" si="0"/>
        <v>45</v>
      </c>
      <c r="H7" s="12">
        <v>20</v>
      </c>
      <c r="I7" s="12">
        <v>0</v>
      </c>
      <c r="J7" s="12">
        <v>75</v>
      </c>
      <c r="K7" s="12">
        <v>199</v>
      </c>
      <c r="L7" s="12">
        <f t="shared" si="1"/>
        <v>199</v>
      </c>
      <c r="M7" s="12">
        <v>207</v>
      </c>
      <c r="N7" s="12">
        <v>85</v>
      </c>
      <c r="O7" s="12">
        <v>281</v>
      </c>
      <c r="P7" s="12">
        <v>281</v>
      </c>
      <c r="Q7" s="12">
        <v>46</v>
      </c>
      <c r="R7" s="12">
        <v>7</v>
      </c>
      <c r="S7" s="12">
        <v>25</v>
      </c>
      <c r="T7" s="12">
        <v>8</v>
      </c>
      <c r="U7" s="12">
        <v>0</v>
      </c>
      <c r="V7" s="12">
        <v>5</v>
      </c>
      <c r="W7" s="12">
        <v>0</v>
      </c>
      <c r="X7" s="12">
        <v>15</v>
      </c>
      <c r="Y7" s="13">
        <v>0</v>
      </c>
      <c r="Z7" s="13">
        <v>11</v>
      </c>
      <c r="AA7" s="13">
        <f t="shared" si="2"/>
        <v>11</v>
      </c>
      <c r="AB7" s="13">
        <f t="shared" si="7"/>
        <v>11</v>
      </c>
      <c r="AC7" s="13">
        <f t="shared" si="7"/>
        <v>11</v>
      </c>
      <c r="AD7" s="13">
        <v>10</v>
      </c>
      <c r="AE7" s="13">
        <v>7</v>
      </c>
      <c r="AF7" s="13">
        <v>41</v>
      </c>
      <c r="AG7" s="13">
        <v>0</v>
      </c>
      <c r="AH7" s="13">
        <v>18</v>
      </c>
      <c r="AI7" s="89">
        <f t="shared" si="3"/>
        <v>360</v>
      </c>
      <c r="AJ7" s="89">
        <f t="shared" si="4"/>
        <v>252</v>
      </c>
      <c r="AK7" s="13">
        <f t="shared" si="5"/>
        <v>50</v>
      </c>
      <c r="AL7" s="34">
        <f t="shared" si="6"/>
        <v>20</v>
      </c>
      <c r="AM7" s="79" t="s">
        <v>110</v>
      </c>
      <c r="AN7" s="4"/>
      <c r="AO7" s="4">
        <v>11</v>
      </c>
      <c r="AP7" s="4"/>
      <c r="AQ7" s="4"/>
      <c r="AR7" s="4"/>
      <c r="AS7" s="4"/>
      <c r="AT7" s="4">
        <v>1</v>
      </c>
      <c r="AU7" s="4">
        <v>1</v>
      </c>
      <c r="AV7" s="4"/>
      <c r="AW7" s="4"/>
    </row>
    <row r="8" spans="1:49" ht="30" customHeight="1" x14ac:dyDescent="0.25">
      <c r="A8" s="79" t="s">
        <v>136</v>
      </c>
      <c r="B8" s="12">
        <v>338</v>
      </c>
      <c r="C8" s="12">
        <v>7</v>
      </c>
      <c r="D8" s="12">
        <v>88</v>
      </c>
      <c r="E8" s="12">
        <v>6</v>
      </c>
      <c r="F8" s="12">
        <v>42</v>
      </c>
      <c r="G8" s="13">
        <f t="shared" si="0"/>
        <v>42</v>
      </c>
      <c r="H8" s="12">
        <v>5</v>
      </c>
      <c r="I8" s="12">
        <v>0</v>
      </c>
      <c r="J8" s="12">
        <v>64</v>
      </c>
      <c r="K8" s="12">
        <v>178</v>
      </c>
      <c r="L8" s="12">
        <f t="shared" si="1"/>
        <v>178</v>
      </c>
      <c r="M8" s="12">
        <v>210</v>
      </c>
      <c r="N8" s="12">
        <v>78</v>
      </c>
      <c r="O8" s="12">
        <v>0</v>
      </c>
      <c r="P8" s="12">
        <v>0</v>
      </c>
      <c r="Q8" s="12">
        <v>35</v>
      </c>
      <c r="R8" s="12">
        <v>6</v>
      </c>
      <c r="S8" s="12">
        <v>10</v>
      </c>
      <c r="T8" s="12">
        <v>7</v>
      </c>
      <c r="U8" s="12">
        <v>0</v>
      </c>
      <c r="V8" s="12">
        <v>3</v>
      </c>
      <c r="W8" s="12">
        <v>0</v>
      </c>
      <c r="X8" s="12">
        <v>10</v>
      </c>
      <c r="Y8" s="13">
        <v>0</v>
      </c>
      <c r="Z8" s="13">
        <v>10</v>
      </c>
      <c r="AA8" s="13">
        <f t="shared" si="2"/>
        <v>10</v>
      </c>
      <c r="AB8" s="13">
        <f t="shared" si="7"/>
        <v>10</v>
      </c>
      <c r="AC8" s="13">
        <f t="shared" si="7"/>
        <v>10</v>
      </c>
      <c r="AD8" s="13">
        <v>11</v>
      </c>
      <c r="AE8" s="13">
        <v>7</v>
      </c>
      <c r="AF8" s="13">
        <v>38</v>
      </c>
      <c r="AG8" s="13">
        <v>0</v>
      </c>
      <c r="AH8" s="13">
        <v>0</v>
      </c>
      <c r="AI8" s="89">
        <f t="shared" si="3"/>
        <v>353</v>
      </c>
      <c r="AJ8" s="89">
        <f t="shared" si="4"/>
        <v>247.1</v>
      </c>
      <c r="AK8" s="13">
        <f t="shared" si="5"/>
        <v>47</v>
      </c>
      <c r="AL8" s="34">
        <f t="shared" si="6"/>
        <v>2</v>
      </c>
      <c r="AM8" s="79" t="s">
        <v>136</v>
      </c>
      <c r="AN8" s="4">
        <v>1</v>
      </c>
      <c r="AO8" s="4"/>
      <c r="AP8" s="4"/>
      <c r="AQ8" s="4"/>
      <c r="AR8" s="4"/>
      <c r="AS8" s="4"/>
      <c r="AT8" s="4">
        <v>2</v>
      </c>
      <c r="AU8" s="4">
        <v>1</v>
      </c>
      <c r="AV8" s="4">
        <v>1</v>
      </c>
      <c r="AW8" s="4"/>
    </row>
    <row r="9" spans="1:49" ht="30" customHeight="1" x14ac:dyDescent="0.25">
      <c r="A9" s="79" t="s">
        <v>111</v>
      </c>
      <c r="B9" s="12">
        <v>337</v>
      </c>
      <c r="C9" s="12">
        <v>6</v>
      </c>
      <c r="D9" s="12">
        <v>105</v>
      </c>
      <c r="E9" s="12">
        <v>7</v>
      </c>
      <c r="F9" s="12">
        <v>42</v>
      </c>
      <c r="G9" s="13">
        <f t="shared" si="0"/>
        <v>42</v>
      </c>
      <c r="H9" s="12">
        <v>10</v>
      </c>
      <c r="I9" s="12">
        <v>2</v>
      </c>
      <c r="J9" s="12">
        <v>65</v>
      </c>
      <c r="K9" s="12">
        <v>190</v>
      </c>
      <c r="L9" s="12">
        <f t="shared" si="1"/>
        <v>190</v>
      </c>
      <c r="M9" s="12">
        <v>210</v>
      </c>
      <c r="N9" s="12">
        <v>78</v>
      </c>
      <c r="O9" s="12">
        <v>0</v>
      </c>
      <c r="P9" s="12">
        <v>199</v>
      </c>
      <c r="Q9" s="12">
        <v>32</v>
      </c>
      <c r="R9" s="12">
        <v>6</v>
      </c>
      <c r="S9" s="12">
        <v>4</v>
      </c>
      <c r="T9" s="12">
        <v>7</v>
      </c>
      <c r="U9" s="12">
        <v>0</v>
      </c>
      <c r="V9" s="12">
        <v>10</v>
      </c>
      <c r="W9" s="12">
        <v>0</v>
      </c>
      <c r="X9" s="12">
        <v>11</v>
      </c>
      <c r="Y9" s="13">
        <v>0</v>
      </c>
      <c r="Z9" s="13">
        <v>15</v>
      </c>
      <c r="AA9" s="13">
        <f t="shared" si="2"/>
        <v>15</v>
      </c>
      <c r="AB9" s="13">
        <f t="shared" si="7"/>
        <v>15</v>
      </c>
      <c r="AC9" s="13">
        <f t="shared" si="7"/>
        <v>15</v>
      </c>
      <c r="AD9" s="13">
        <v>10</v>
      </c>
      <c r="AE9" s="13">
        <v>8</v>
      </c>
      <c r="AF9" s="13">
        <v>42</v>
      </c>
      <c r="AG9" s="13">
        <v>0</v>
      </c>
      <c r="AH9" s="13">
        <v>7</v>
      </c>
      <c r="AI9" s="89">
        <f t="shared" si="3"/>
        <v>352</v>
      </c>
      <c r="AJ9" s="89">
        <f t="shared" si="4"/>
        <v>246.4</v>
      </c>
      <c r="AK9" s="13">
        <f t="shared" si="5"/>
        <v>47</v>
      </c>
      <c r="AL9" s="34">
        <f t="shared" si="6"/>
        <v>9</v>
      </c>
      <c r="AM9" s="79" t="s">
        <v>111</v>
      </c>
      <c r="AN9" s="4"/>
      <c r="AO9" s="4">
        <v>10</v>
      </c>
      <c r="AP9" s="4"/>
      <c r="AQ9" s="4"/>
      <c r="AR9" s="4"/>
      <c r="AS9" s="4"/>
      <c r="AT9" s="4"/>
      <c r="AU9" s="4"/>
      <c r="AV9" s="4"/>
      <c r="AW9" s="4"/>
    </row>
    <row r="10" spans="1:49" ht="30" customHeight="1" x14ac:dyDescent="0.25">
      <c r="A10" s="79" t="s">
        <v>112</v>
      </c>
      <c r="B10" s="12">
        <v>95</v>
      </c>
      <c r="C10" s="12">
        <v>6</v>
      </c>
      <c r="D10" s="12">
        <v>40</v>
      </c>
      <c r="E10" s="12">
        <v>0</v>
      </c>
      <c r="F10" s="12">
        <v>22</v>
      </c>
      <c r="G10" s="13">
        <f t="shared" si="0"/>
        <v>22</v>
      </c>
      <c r="H10" s="12">
        <v>0</v>
      </c>
      <c r="I10" s="12">
        <v>0</v>
      </c>
      <c r="J10" s="12">
        <v>18</v>
      </c>
      <c r="K10" s="12">
        <v>75</v>
      </c>
      <c r="L10" s="12">
        <f t="shared" si="1"/>
        <v>75</v>
      </c>
      <c r="M10" s="12">
        <v>78</v>
      </c>
      <c r="N10" s="12">
        <v>32</v>
      </c>
      <c r="O10" s="12">
        <v>0</v>
      </c>
      <c r="P10" s="12">
        <v>75</v>
      </c>
      <c r="Q10" s="12">
        <v>10</v>
      </c>
      <c r="R10" s="12">
        <v>0</v>
      </c>
      <c r="S10" s="12">
        <v>0</v>
      </c>
      <c r="T10" s="12">
        <v>10</v>
      </c>
      <c r="U10" s="12">
        <v>0</v>
      </c>
      <c r="V10" s="12">
        <v>6</v>
      </c>
      <c r="W10" s="12">
        <v>0</v>
      </c>
      <c r="X10" s="12">
        <v>5</v>
      </c>
      <c r="Y10" s="13">
        <v>0</v>
      </c>
      <c r="Z10" s="13">
        <v>5</v>
      </c>
      <c r="AA10" s="13">
        <f t="shared" si="2"/>
        <v>5</v>
      </c>
      <c r="AB10" s="13">
        <f t="shared" si="7"/>
        <v>5</v>
      </c>
      <c r="AC10" s="13">
        <f t="shared" si="7"/>
        <v>5</v>
      </c>
      <c r="AD10" s="13">
        <v>4</v>
      </c>
      <c r="AE10" s="13">
        <v>3</v>
      </c>
      <c r="AF10" s="13">
        <v>10</v>
      </c>
      <c r="AG10" s="13">
        <v>0</v>
      </c>
      <c r="AH10" s="13">
        <v>16</v>
      </c>
      <c r="AI10" s="89">
        <f t="shared" si="3"/>
        <v>110</v>
      </c>
      <c r="AJ10" s="89">
        <f t="shared" si="4"/>
        <v>77</v>
      </c>
      <c r="AK10" s="13">
        <f t="shared" si="5"/>
        <v>27</v>
      </c>
      <c r="AL10" s="34">
        <f t="shared" si="6"/>
        <v>18</v>
      </c>
      <c r="AM10" s="79" t="s">
        <v>112</v>
      </c>
      <c r="AN10" s="4"/>
      <c r="AO10" s="4">
        <v>5</v>
      </c>
      <c r="AP10" s="4"/>
      <c r="AQ10" s="4"/>
      <c r="AR10" s="4"/>
      <c r="AS10" s="4"/>
      <c r="AT10" s="4"/>
      <c r="AU10" s="4"/>
      <c r="AV10" s="4"/>
      <c r="AW10" s="4"/>
    </row>
    <row r="11" spans="1:49" ht="30" customHeight="1" x14ac:dyDescent="0.25">
      <c r="A11" s="79" t="s">
        <v>113</v>
      </c>
      <c r="B11" s="12">
        <v>345</v>
      </c>
      <c r="C11" s="12">
        <v>7</v>
      </c>
      <c r="D11" s="12">
        <v>111</v>
      </c>
      <c r="E11" s="12">
        <v>6</v>
      </c>
      <c r="F11" s="12">
        <v>45</v>
      </c>
      <c r="G11" s="13">
        <f t="shared" si="0"/>
        <v>45</v>
      </c>
      <c r="H11" s="12">
        <v>12</v>
      </c>
      <c r="I11" s="12">
        <v>4</v>
      </c>
      <c r="J11" s="12">
        <v>66</v>
      </c>
      <c r="K11" s="12">
        <v>190</v>
      </c>
      <c r="L11" s="12">
        <f t="shared" si="1"/>
        <v>190</v>
      </c>
      <c r="M11" s="12">
        <v>0</v>
      </c>
      <c r="N11" s="12">
        <v>215</v>
      </c>
      <c r="O11" s="12">
        <v>0</v>
      </c>
      <c r="P11" s="12">
        <v>291</v>
      </c>
      <c r="Q11" s="12">
        <v>50</v>
      </c>
      <c r="R11" s="12">
        <v>5</v>
      </c>
      <c r="S11" s="12">
        <v>26</v>
      </c>
      <c r="T11" s="12">
        <v>8</v>
      </c>
      <c r="U11" s="12">
        <v>0</v>
      </c>
      <c r="V11" s="12">
        <v>10</v>
      </c>
      <c r="W11" s="12">
        <v>0</v>
      </c>
      <c r="X11" s="12">
        <v>15</v>
      </c>
      <c r="Y11" s="13">
        <v>0</v>
      </c>
      <c r="Z11" s="13">
        <v>11</v>
      </c>
      <c r="AA11" s="13">
        <f t="shared" si="2"/>
        <v>11</v>
      </c>
      <c r="AB11" s="13">
        <f t="shared" si="7"/>
        <v>11</v>
      </c>
      <c r="AC11" s="13">
        <f t="shared" si="7"/>
        <v>11</v>
      </c>
      <c r="AD11" s="13">
        <v>8</v>
      </c>
      <c r="AE11" s="13">
        <v>7</v>
      </c>
      <c r="AF11" s="13">
        <v>45</v>
      </c>
      <c r="AG11" s="13">
        <v>1</v>
      </c>
      <c r="AH11" s="13">
        <v>26</v>
      </c>
      <c r="AI11" s="89">
        <f t="shared" si="3"/>
        <v>360</v>
      </c>
      <c r="AJ11" s="89">
        <f t="shared" si="4"/>
        <v>252</v>
      </c>
      <c r="AK11" s="13">
        <f t="shared" si="5"/>
        <v>50</v>
      </c>
      <c r="AL11" s="34">
        <f t="shared" si="6"/>
        <v>28</v>
      </c>
      <c r="AM11" s="79" t="s">
        <v>113</v>
      </c>
      <c r="AN11" s="4"/>
      <c r="AO11" s="4">
        <v>21</v>
      </c>
      <c r="AP11" s="4"/>
      <c r="AQ11" s="4"/>
      <c r="AR11" s="4"/>
      <c r="AS11" s="4"/>
      <c r="AT11" s="4">
        <v>1</v>
      </c>
      <c r="AU11" s="4"/>
      <c r="AV11" s="4">
        <v>1</v>
      </c>
      <c r="AW11" s="4"/>
    </row>
    <row r="12" spans="1:49" ht="30" customHeight="1" x14ac:dyDescent="0.25">
      <c r="A12" s="79" t="s">
        <v>114</v>
      </c>
      <c r="B12" s="12">
        <v>340</v>
      </c>
      <c r="C12" s="12">
        <v>7</v>
      </c>
      <c r="D12" s="12">
        <v>116</v>
      </c>
      <c r="E12" s="12">
        <v>10</v>
      </c>
      <c r="F12" s="12">
        <v>45</v>
      </c>
      <c r="G12" s="13">
        <f t="shared" si="0"/>
        <v>45</v>
      </c>
      <c r="H12" s="12">
        <v>4</v>
      </c>
      <c r="I12" s="12">
        <v>1</v>
      </c>
      <c r="J12" s="12">
        <v>76</v>
      </c>
      <c r="K12" s="12">
        <v>210</v>
      </c>
      <c r="L12" s="12">
        <f t="shared" si="1"/>
        <v>210</v>
      </c>
      <c r="M12" s="12">
        <v>0</v>
      </c>
      <c r="N12" s="12">
        <v>72</v>
      </c>
      <c r="O12" s="12">
        <v>317</v>
      </c>
      <c r="P12" s="12">
        <v>317</v>
      </c>
      <c r="Q12" s="12">
        <v>45</v>
      </c>
      <c r="R12" s="12">
        <v>6</v>
      </c>
      <c r="S12" s="12">
        <v>26</v>
      </c>
      <c r="T12" s="12">
        <v>7</v>
      </c>
      <c r="U12" s="12">
        <v>0</v>
      </c>
      <c r="V12" s="12">
        <v>14</v>
      </c>
      <c r="W12" s="12">
        <v>0</v>
      </c>
      <c r="X12" s="12">
        <v>12</v>
      </c>
      <c r="Y12" s="13">
        <v>0</v>
      </c>
      <c r="Z12" s="13">
        <v>9</v>
      </c>
      <c r="AA12" s="13">
        <f t="shared" si="2"/>
        <v>9</v>
      </c>
      <c r="AB12" s="13">
        <f t="shared" si="7"/>
        <v>9</v>
      </c>
      <c r="AC12" s="13">
        <f t="shared" si="7"/>
        <v>9</v>
      </c>
      <c r="AD12" s="13">
        <v>11</v>
      </c>
      <c r="AE12" s="13">
        <v>7</v>
      </c>
      <c r="AF12" s="13">
        <v>45</v>
      </c>
      <c r="AG12" s="13">
        <v>0</v>
      </c>
      <c r="AH12" s="13">
        <v>11</v>
      </c>
      <c r="AI12" s="89">
        <f t="shared" si="3"/>
        <v>355</v>
      </c>
      <c r="AJ12" s="89">
        <f t="shared" si="4"/>
        <v>248.5</v>
      </c>
      <c r="AK12" s="13">
        <f t="shared" si="5"/>
        <v>50</v>
      </c>
      <c r="AL12" s="34">
        <f t="shared" si="6"/>
        <v>13</v>
      </c>
      <c r="AM12" s="79" t="s">
        <v>114</v>
      </c>
      <c r="AN12" s="4">
        <v>1</v>
      </c>
      <c r="AO12" s="4">
        <v>13</v>
      </c>
      <c r="AP12" s="4"/>
      <c r="AQ12" s="4"/>
      <c r="AR12" s="4"/>
      <c r="AS12" s="4"/>
      <c r="AT12" s="4"/>
      <c r="AU12" s="4"/>
      <c r="AV12" s="4"/>
      <c r="AW12" s="4"/>
    </row>
    <row r="13" spans="1:49" ht="30" customHeight="1" x14ac:dyDescent="0.25">
      <c r="A13" s="79" t="s">
        <v>115</v>
      </c>
      <c r="B13" s="12">
        <v>345</v>
      </c>
      <c r="C13" s="12">
        <v>6</v>
      </c>
      <c r="D13" s="12">
        <v>116</v>
      </c>
      <c r="E13" s="12">
        <v>6</v>
      </c>
      <c r="F13" s="12">
        <v>42</v>
      </c>
      <c r="G13" s="13">
        <f t="shared" si="0"/>
        <v>42</v>
      </c>
      <c r="H13" s="12">
        <v>19</v>
      </c>
      <c r="I13" s="12">
        <v>1</v>
      </c>
      <c r="J13" s="12">
        <v>65</v>
      </c>
      <c r="K13" s="12">
        <v>190</v>
      </c>
      <c r="L13" s="12">
        <f t="shared" si="1"/>
        <v>190</v>
      </c>
      <c r="M13" s="12">
        <v>0</v>
      </c>
      <c r="N13" s="12">
        <v>77</v>
      </c>
      <c r="O13" s="12">
        <v>250</v>
      </c>
      <c r="P13" s="12">
        <v>250</v>
      </c>
      <c r="Q13" s="12">
        <v>52</v>
      </c>
      <c r="R13" s="12">
        <v>6</v>
      </c>
      <c r="S13" s="12">
        <v>28</v>
      </c>
      <c r="T13" s="12">
        <v>6</v>
      </c>
      <c r="U13" s="12">
        <v>0</v>
      </c>
      <c r="V13" s="12">
        <v>9</v>
      </c>
      <c r="W13" s="12">
        <v>0</v>
      </c>
      <c r="X13" s="12">
        <v>11</v>
      </c>
      <c r="Y13" s="13">
        <v>0</v>
      </c>
      <c r="Z13" s="13">
        <v>7</v>
      </c>
      <c r="AA13" s="13">
        <f t="shared" si="2"/>
        <v>7</v>
      </c>
      <c r="AB13" s="13">
        <f t="shared" si="7"/>
        <v>7</v>
      </c>
      <c r="AC13" s="13">
        <f t="shared" si="7"/>
        <v>7</v>
      </c>
      <c r="AD13" s="13">
        <v>9</v>
      </c>
      <c r="AE13" s="13">
        <v>6</v>
      </c>
      <c r="AF13" s="13">
        <v>52</v>
      </c>
      <c r="AG13" s="13">
        <v>0</v>
      </c>
      <c r="AH13" s="13">
        <v>23</v>
      </c>
      <c r="AI13" s="89">
        <f t="shared" si="3"/>
        <v>360</v>
      </c>
      <c r="AJ13" s="89">
        <f t="shared" si="4"/>
        <v>252</v>
      </c>
      <c r="AK13" s="13">
        <f t="shared" si="5"/>
        <v>47</v>
      </c>
      <c r="AL13" s="34">
        <f t="shared" si="6"/>
        <v>25</v>
      </c>
      <c r="AM13" s="79" t="s">
        <v>115</v>
      </c>
      <c r="AN13" s="4">
        <v>10</v>
      </c>
      <c r="AO13" s="4">
        <v>7</v>
      </c>
      <c r="AP13" s="4"/>
      <c r="AQ13" s="4"/>
      <c r="AR13" s="4"/>
      <c r="AS13" s="4"/>
      <c r="AT13" s="4"/>
      <c r="AU13" s="4"/>
      <c r="AV13" s="4"/>
      <c r="AW13" s="4"/>
    </row>
    <row r="14" spans="1:49" ht="30" customHeight="1" x14ac:dyDescent="0.25">
      <c r="A14" s="79" t="s">
        <v>116</v>
      </c>
      <c r="B14" s="12">
        <v>358</v>
      </c>
      <c r="C14" s="12">
        <v>7</v>
      </c>
      <c r="D14" s="12">
        <v>105</v>
      </c>
      <c r="E14" s="12">
        <v>7</v>
      </c>
      <c r="F14" s="12">
        <v>45</v>
      </c>
      <c r="G14" s="13">
        <f t="shared" si="0"/>
        <v>45</v>
      </c>
      <c r="H14" s="12">
        <v>10</v>
      </c>
      <c r="I14" s="12">
        <v>3</v>
      </c>
      <c r="J14" s="12">
        <v>78</v>
      </c>
      <c r="K14" s="12">
        <v>198</v>
      </c>
      <c r="L14" s="12">
        <f t="shared" si="1"/>
        <v>198</v>
      </c>
      <c r="M14" s="12">
        <v>0</v>
      </c>
      <c r="N14" s="12">
        <v>78</v>
      </c>
      <c r="O14" s="12">
        <v>258</v>
      </c>
      <c r="P14" s="12">
        <v>258</v>
      </c>
      <c r="Q14" s="12">
        <v>42</v>
      </c>
      <c r="R14" s="12">
        <v>6</v>
      </c>
      <c r="S14" s="12">
        <v>25</v>
      </c>
      <c r="T14" s="12">
        <v>6</v>
      </c>
      <c r="U14" s="12">
        <v>0</v>
      </c>
      <c r="V14" s="12">
        <v>7</v>
      </c>
      <c r="W14" s="12">
        <v>0</v>
      </c>
      <c r="X14" s="12">
        <v>15</v>
      </c>
      <c r="Y14" s="13">
        <v>0</v>
      </c>
      <c r="Z14" s="13">
        <v>10</v>
      </c>
      <c r="AA14" s="13">
        <f t="shared" si="2"/>
        <v>10</v>
      </c>
      <c r="AB14" s="13">
        <f t="shared" si="7"/>
        <v>10</v>
      </c>
      <c r="AC14" s="13">
        <f t="shared" si="7"/>
        <v>10</v>
      </c>
      <c r="AD14" s="13">
        <v>8</v>
      </c>
      <c r="AE14" s="13">
        <v>6</v>
      </c>
      <c r="AF14" s="13">
        <v>45</v>
      </c>
      <c r="AG14" s="13">
        <v>1</v>
      </c>
      <c r="AH14" s="13">
        <v>15</v>
      </c>
      <c r="AI14" s="89">
        <f t="shared" si="3"/>
        <v>373</v>
      </c>
      <c r="AJ14" s="89">
        <f t="shared" si="4"/>
        <v>261.10000000000002</v>
      </c>
      <c r="AK14" s="13">
        <f t="shared" si="5"/>
        <v>50</v>
      </c>
      <c r="AL14" s="34">
        <f t="shared" si="6"/>
        <v>17</v>
      </c>
      <c r="AM14" s="79" t="s">
        <v>116</v>
      </c>
      <c r="AN14" s="4">
        <v>5</v>
      </c>
      <c r="AO14" s="4">
        <v>7</v>
      </c>
      <c r="AP14" s="4"/>
      <c r="AQ14" s="4"/>
      <c r="AR14" s="4"/>
      <c r="AS14" s="4"/>
      <c r="AT14" s="4"/>
      <c r="AU14" s="4"/>
      <c r="AV14" s="4"/>
      <c r="AW14" s="4"/>
    </row>
    <row r="15" spans="1:49" ht="30" customHeight="1" x14ac:dyDescent="0.25">
      <c r="A15" s="79" t="s">
        <v>117</v>
      </c>
      <c r="B15" s="13">
        <v>336</v>
      </c>
      <c r="C15" s="13">
        <v>7</v>
      </c>
      <c r="D15" s="13">
        <v>90</v>
      </c>
      <c r="E15" s="13">
        <v>5</v>
      </c>
      <c r="F15" s="13">
        <v>42</v>
      </c>
      <c r="G15" s="13">
        <f t="shared" si="0"/>
        <v>42</v>
      </c>
      <c r="H15" s="13">
        <v>5</v>
      </c>
      <c r="I15" s="13">
        <v>1</v>
      </c>
      <c r="J15" s="13">
        <v>68</v>
      </c>
      <c r="K15" s="13">
        <v>172</v>
      </c>
      <c r="L15" s="13">
        <f t="shared" si="1"/>
        <v>172</v>
      </c>
      <c r="M15" s="13">
        <v>0</v>
      </c>
      <c r="N15" s="13">
        <v>92</v>
      </c>
      <c r="O15" s="13">
        <v>198</v>
      </c>
      <c r="P15" s="13">
        <v>198</v>
      </c>
      <c r="Q15" s="13">
        <v>41</v>
      </c>
      <c r="R15" s="13">
        <v>5</v>
      </c>
      <c r="S15" s="13">
        <v>18</v>
      </c>
      <c r="T15" s="13">
        <v>10</v>
      </c>
      <c r="U15" s="12">
        <v>0</v>
      </c>
      <c r="V15" s="13">
        <v>6</v>
      </c>
      <c r="W15" s="12">
        <v>0</v>
      </c>
      <c r="X15" s="12">
        <v>10</v>
      </c>
      <c r="Y15" s="13">
        <v>0</v>
      </c>
      <c r="Z15" s="13">
        <v>9</v>
      </c>
      <c r="AA15" s="13">
        <f t="shared" si="2"/>
        <v>9</v>
      </c>
      <c r="AB15" s="13">
        <f t="shared" si="7"/>
        <v>9</v>
      </c>
      <c r="AC15" s="13">
        <f t="shared" si="7"/>
        <v>9</v>
      </c>
      <c r="AD15" s="13">
        <v>8</v>
      </c>
      <c r="AE15" s="13">
        <v>7</v>
      </c>
      <c r="AF15" s="13">
        <v>48</v>
      </c>
      <c r="AG15" s="13">
        <v>0</v>
      </c>
      <c r="AH15" s="88">
        <v>19</v>
      </c>
      <c r="AI15" s="89">
        <f t="shared" si="3"/>
        <v>351</v>
      </c>
      <c r="AJ15" s="49">
        <f t="shared" si="4"/>
        <v>245.7</v>
      </c>
      <c r="AK15" s="13">
        <f t="shared" si="5"/>
        <v>47</v>
      </c>
      <c r="AL15" s="34">
        <f t="shared" si="6"/>
        <v>21</v>
      </c>
      <c r="AM15" s="79" t="s">
        <v>117</v>
      </c>
      <c r="AN15" s="4">
        <v>3</v>
      </c>
      <c r="AO15" s="4">
        <v>11</v>
      </c>
      <c r="AP15" s="4"/>
      <c r="AQ15" s="4"/>
      <c r="AR15" s="4"/>
      <c r="AS15" s="4"/>
      <c r="AT15" s="4"/>
      <c r="AU15" s="4"/>
      <c r="AV15" s="4"/>
      <c r="AW15" s="4"/>
    </row>
    <row r="16" spans="1:49" ht="30" customHeight="1" x14ac:dyDescent="0.25">
      <c r="A16" s="79" t="s">
        <v>118</v>
      </c>
      <c r="B16" s="13">
        <v>368</v>
      </c>
      <c r="C16" s="13">
        <v>6</v>
      </c>
      <c r="D16" s="13">
        <v>110</v>
      </c>
      <c r="E16" s="13">
        <v>7</v>
      </c>
      <c r="F16" s="13">
        <v>52</v>
      </c>
      <c r="G16" s="13">
        <f t="shared" si="0"/>
        <v>52</v>
      </c>
      <c r="H16" s="13">
        <v>14</v>
      </c>
      <c r="I16" s="13">
        <v>4</v>
      </c>
      <c r="J16" s="13">
        <v>79</v>
      </c>
      <c r="K16" s="13">
        <v>210</v>
      </c>
      <c r="L16" s="13">
        <f t="shared" si="1"/>
        <v>210</v>
      </c>
      <c r="M16" s="13">
        <v>0</v>
      </c>
      <c r="N16" s="13">
        <v>105</v>
      </c>
      <c r="O16" s="13">
        <v>260</v>
      </c>
      <c r="P16" s="13">
        <v>260</v>
      </c>
      <c r="Q16" s="13">
        <v>51</v>
      </c>
      <c r="R16" s="13">
        <v>6</v>
      </c>
      <c r="S16" s="13">
        <v>25</v>
      </c>
      <c r="T16" s="13">
        <v>8</v>
      </c>
      <c r="U16" s="12">
        <v>0</v>
      </c>
      <c r="V16" s="13">
        <v>9</v>
      </c>
      <c r="W16" s="13">
        <v>0</v>
      </c>
      <c r="X16" s="12">
        <v>12</v>
      </c>
      <c r="Y16" s="13">
        <v>0</v>
      </c>
      <c r="Z16" s="13">
        <v>7</v>
      </c>
      <c r="AA16" s="13">
        <f t="shared" si="2"/>
        <v>7</v>
      </c>
      <c r="AB16" s="13">
        <f t="shared" si="7"/>
        <v>7</v>
      </c>
      <c r="AC16" s="13">
        <f t="shared" si="7"/>
        <v>7</v>
      </c>
      <c r="AD16" s="13">
        <v>6</v>
      </c>
      <c r="AE16" s="13">
        <v>5</v>
      </c>
      <c r="AF16" s="13">
        <v>38</v>
      </c>
      <c r="AG16" s="13">
        <v>1</v>
      </c>
      <c r="AH16" s="88">
        <v>27</v>
      </c>
      <c r="AI16" s="89">
        <f t="shared" si="3"/>
        <v>383</v>
      </c>
      <c r="AJ16" s="49">
        <f t="shared" si="4"/>
        <v>268.10000000000002</v>
      </c>
      <c r="AK16" s="13">
        <f t="shared" si="5"/>
        <v>57</v>
      </c>
      <c r="AL16" s="34">
        <f t="shared" si="6"/>
        <v>29</v>
      </c>
      <c r="AM16" s="79" t="s">
        <v>118</v>
      </c>
      <c r="AN16" s="4">
        <v>5</v>
      </c>
      <c r="AO16" s="4">
        <v>12</v>
      </c>
      <c r="AP16" s="4"/>
      <c r="AQ16" s="4"/>
      <c r="AR16" s="4"/>
      <c r="AS16" s="4"/>
      <c r="AT16" s="4"/>
      <c r="AU16" s="4"/>
      <c r="AV16" s="4"/>
      <c r="AW16" s="4"/>
    </row>
    <row r="17" spans="1:49" ht="30" customHeight="1" x14ac:dyDescent="0.25">
      <c r="A17" s="79" t="s">
        <v>119</v>
      </c>
      <c r="B17" s="13">
        <v>110</v>
      </c>
      <c r="C17" s="13">
        <v>2</v>
      </c>
      <c r="D17" s="13">
        <v>55</v>
      </c>
      <c r="E17" s="13">
        <v>0</v>
      </c>
      <c r="F17" s="13">
        <v>18</v>
      </c>
      <c r="G17" s="13">
        <f t="shared" si="0"/>
        <v>18</v>
      </c>
      <c r="H17" s="13">
        <v>0</v>
      </c>
      <c r="I17" s="13">
        <v>0</v>
      </c>
      <c r="J17" s="13">
        <v>22</v>
      </c>
      <c r="K17" s="13">
        <v>85</v>
      </c>
      <c r="L17" s="13">
        <f t="shared" si="1"/>
        <v>85</v>
      </c>
      <c r="M17" s="13">
        <v>0</v>
      </c>
      <c r="N17" s="13">
        <v>45</v>
      </c>
      <c r="O17" s="13">
        <v>100</v>
      </c>
      <c r="P17" s="13">
        <v>100</v>
      </c>
      <c r="Q17" s="13">
        <v>10</v>
      </c>
      <c r="R17" s="13">
        <v>0</v>
      </c>
      <c r="S17" s="13">
        <v>0</v>
      </c>
      <c r="T17" s="13">
        <v>0</v>
      </c>
      <c r="U17" s="12">
        <v>0</v>
      </c>
      <c r="V17" s="13">
        <v>7</v>
      </c>
      <c r="W17" s="13">
        <v>0</v>
      </c>
      <c r="X17" s="12">
        <v>5</v>
      </c>
      <c r="Y17" s="13">
        <v>0</v>
      </c>
      <c r="Z17" s="35">
        <v>5</v>
      </c>
      <c r="AA17" s="13">
        <f t="shared" si="2"/>
        <v>5</v>
      </c>
      <c r="AB17" s="13">
        <f t="shared" si="7"/>
        <v>5</v>
      </c>
      <c r="AC17" s="13">
        <f t="shared" si="7"/>
        <v>5</v>
      </c>
      <c r="AD17" s="13">
        <v>3</v>
      </c>
      <c r="AE17" s="13">
        <v>2</v>
      </c>
      <c r="AF17" s="13">
        <v>10</v>
      </c>
      <c r="AG17" s="13">
        <v>1</v>
      </c>
      <c r="AH17" s="88">
        <v>11</v>
      </c>
      <c r="AI17" s="89">
        <f t="shared" si="3"/>
        <v>125</v>
      </c>
      <c r="AJ17" s="49">
        <f t="shared" si="4"/>
        <v>87.5</v>
      </c>
      <c r="AK17" s="13">
        <f t="shared" si="5"/>
        <v>23</v>
      </c>
      <c r="AL17" s="34">
        <f t="shared" si="6"/>
        <v>13</v>
      </c>
      <c r="AM17" s="79" t="s">
        <v>119</v>
      </c>
      <c r="AN17" s="4">
        <v>2</v>
      </c>
      <c r="AO17" s="4">
        <v>5</v>
      </c>
      <c r="AP17" s="4">
        <v>2</v>
      </c>
      <c r="AQ17" s="4"/>
      <c r="AR17" s="4"/>
      <c r="AS17" s="4"/>
      <c r="AT17" s="4">
        <v>2</v>
      </c>
      <c r="AU17" s="4">
        <v>1</v>
      </c>
      <c r="AV17" s="4">
        <v>1</v>
      </c>
      <c r="AW17" s="4"/>
    </row>
    <row r="18" spans="1:49" ht="30" customHeight="1" x14ac:dyDescent="0.25">
      <c r="A18" s="79" t="s">
        <v>120</v>
      </c>
      <c r="B18" s="13">
        <v>370</v>
      </c>
      <c r="C18" s="13">
        <v>10</v>
      </c>
      <c r="D18" s="13">
        <v>55</v>
      </c>
      <c r="E18" s="13">
        <v>6</v>
      </c>
      <c r="F18" s="13">
        <v>60</v>
      </c>
      <c r="G18" s="39">
        <f t="shared" si="0"/>
        <v>60</v>
      </c>
      <c r="H18" s="13">
        <v>13</v>
      </c>
      <c r="I18" s="13">
        <v>5</v>
      </c>
      <c r="J18" s="13">
        <v>78</v>
      </c>
      <c r="K18" s="13">
        <v>210</v>
      </c>
      <c r="L18" s="13">
        <f t="shared" si="1"/>
        <v>210</v>
      </c>
      <c r="M18" s="13">
        <v>0</v>
      </c>
      <c r="N18" s="13">
        <v>145</v>
      </c>
      <c r="O18" s="13">
        <v>315</v>
      </c>
      <c r="P18" s="13">
        <v>315</v>
      </c>
      <c r="Q18" s="13">
        <v>49</v>
      </c>
      <c r="R18" s="13">
        <v>6</v>
      </c>
      <c r="S18" s="13">
        <v>30</v>
      </c>
      <c r="T18" s="13">
        <v>0</v>
      </c>
      <c r="U18" s="12">
        <v>0</v>
      </c>
      <c r="V18" s="13">
        <v>11</v>
      </c>
      <c r="W18" s="13">
        <v>0</v>
      </c>
      <c r="X18" s="12">
        <v>15</v>
      </c>
      <c r="Y18" s="13">
        <v>0</v>
      </c>
      <c r="Z18" s="13">
        <v>11</v>
      </c>
      <c r="AA18" s="13">
        <f t="shared" si="2"/>
        <v>11</v>
      </c>
      <c r="AB18" s="13">
        <f t="shared" si="7"/>
        <v>11</v>
      </c>
      <c r="AC18" s="13">
        <f t="shared" si="7"/>
        <v>11</v>
      </c>
      <c r="AD18" s="13">
        <v>10</v>
      </c>
      <c r="AE18" s="13">
        <v>7</v>
      </c>
      <c r="AF18" s="13">
        <v>60</v>
      </c>
      <c r="AG18" s="13">
        <v>1</v>
      </c>
      <c r="AH18" s="13">
        <v>17</v>
      </c>
      <c r="AI18" s="89">
        <f t="shared" si="3"/>
        <v>385</v>
      </c>
      <c r="AJ18" s="49">
        <f t="shared" si="4"/>
        <v>269.5</v>
      </c>
      <c r="AK18" s="13">
        <f t="shared" si="5"/>
        <v>65</v>
      </c>
      <c r="AL18" s="34">
        <f t="shared" si="6"/>
        <v>19</v>
      </c>
      <c r="AM18" s="79" t="s">
        <v>120</v>
      </c>
      <c r="AN18" s="4">
        <v>6</v>
      </c>
      <c r="AO18" s="4">
        <v>15</v>
      </c>
      <c r="AP18" s="4"/>
      <c r="AQ18" s="4"/>
      <c r="AR18" s="4"/>
      <c r="AS18" s="4"/>
      <c r="AT18" s="4"/>
      <c r="AU18" s="4"/>
      <c r="AV18" s="4"/>
      <c r="AW18" s="4"/>
    </row>
    <row r="19" spans="1:49" ht="30" customHeight="1" x14ac:dyDescent="0.25">
      <c r="A19" s="79" t="s">
        <v>121</v>
      </c>
      <c r="B19" s="13">
        <v>370</v>
      </c>
      <c r="C19" s="13">
        <v>8</v>
      </c>
      <c r="D19" s="13">
        <v>15</v>
      </c>
      <c r="E19" s="13">
        <v>8</v>
      </c>
      <c r="F19" s="13">
        <v>60</v>
      </c>
      <c r="G19" s="39">
        <f t="shared" si="0"/>
        <v>60</v>
      </c>
      <c r="H19" s="13">
        <v>13</v>
      </c>
      <c r="I19" s="13">
        <v>0</v>
      </c>
      <c r="J19" s="13">
        <v>74</v>
      </c>
      <c r="K19" s="13">
        <v>198</v>
      </c>
      <c r="L19" s="13">
        <f t="shared" si="1"/>
        <v>198</v>
      </c>
      <c r="M19" s="13">
        <v>0</v>
      </c>
      <c r="N19" s="13">
        <v>84</v>
      </c>
      <c r="O19" s="13">
        <v>243</v>
      </c>
      <c r="P19" s="13">
        <v>243</v>
      </c>
      <c r="Q19" s="13">
        <v>44</v>
      </c>
      <c r="R19" s="13">
        <v>8</v>
      </c>
      <c r="S19" s="13">
        <v>14</v>
      </c>
      <c r="T19" s="13">
        <v>0</v>
      </c>
      <c r="U19" s="12">
        <v>0</v>
      </c>
      <c r="V19" s="13">
        <v>12</v>
      </c>
      <c r="W19" s="13">
        <v>0</v>
      </c>
      <c r="X19" s="12">
        <v>12</v>
      </c>
      <c r="Y19" s="13">
        <v>0</v>
      </c>
      <c r="Z19" s="13">
        <v>8</v>
      </c>
      <c r="AA19" s="13">
        <f t="shared" si="2"/>
        <v>8</v>
      </c>
      <c r="AB19" s="13">
        <f t="shared" si="7"/>
        <v>8</v>
      </c>
      <c r="AC19" s="13">
        <f t="shared" si="7"/>
        <v>8</v>
      </c>
      <c r="AD19" s="13">
        <v>9</v>
      </c>
      <c r="AE19" s="13">
        <v>7</v>
      </c>
      <c r="AF19" s="13">
        <v>45</v>
      </c>
      <c r="AG19" s="13">
        <v>0</v>
      </c>
      <c r="AH19" s="13">
        <v>21</v>
      </c>
      <c r="AI19" s="89">
        <f t="shared" si="3"/>
        <v>385</v>
      </c>
      <c r="AJ19" s="49">
        <f t="shared" si="4"/>
        <v>269.5</v>
      </c>
      <c r="AK19" s="13">
        <f t="shared" si="5"/>
        <v>65</v>
      </c>
      <c r="AL19" s="34">
        <f t="shared" si="6"/>
        <v>23</v>
      </c>
      <c r="AM19" s="79" t="s">
        <v>121</v>
      </c>
      <c r="AN19" s="4">
        <v>7</v>
      </c>
      <c r="AO19" s="4">
        <v>9</v>
      </c>
      <c r="AP19" s="4">
        <v>1</v>
      </c>
      <c r="AQ19" s="4"/>
      <c r="AR19" s="4"/>
      <c r="AS19" s="4"/>
      <c r="AT19" s="4"/>
      <c r="AU19" s="4"/>
      <c r="AV19" s="4"/>
      <c r="AW19" s="4"/>
    </row>
    <row r="20" spans="1:49" ht="30" customHeight="1" x14ac:dyDescent="0.25">
      <c r="A20" s="79" t="s">
        <v>122</v>
      </c>
      <c r="B20" s="13">
        <v>365</v>
      </c>
      <c r="C20" s="13">
        <v>6</v>
      </c>
      <c r="D20" s="13">
        <v>10</v>
      </c>
      <c r="E20" s="13">
        <v>6</v>
      </c>
      <c r="F20" s="13">
        <v>65</v>
      </c>
      <c r="G20" s="39">
        <f t="shared" si="0"/>
        <v>65</v>
      </c>
      <c r="H20" s="13">
        <v>6</v>
      </c>
      <c r="I20" s="13">
        <v>4</v>
      </c>
      <c r="J20" s="13">
        <v>84</v>
      </c>
      <c r="K20" s="13">
        <v>210</v>
      </c>
      <c r="L20" s="13">
        <f t="shared" si="1"/>
        <v>210</v>
      </c>
      <c r="M20" s="13">
        <v>0</v>
      </c>
      <c r="N20" s="13">
        <v>105</v>
      </c>
      <c r="O20" s="13">
        <v>258</v>
      </c>
      <c r="P20" s="13">
        <v>258</v>
      </c>
      <c r="Q20" s="13">
        <v>54</v>
      </c>
      <c r="R20" s="13">
        <v>6</v>
      </c>
      <c r="S20" s="13">
        <v>22</v>
      </c>
      <c r="T20" s="13">
        <v>0</v>
      </c>
      <c r="U20" s="12">
        <v>0</v>
      </c>
      <c r="V20" s="13">
        <v>10</v>
      </c>
      <c r="W20" s="13">
        <v>0</v>
      </c>
      <c r="X20" s="12">
        <v>12</v>
      </c>
      <c r="Y20" s="13">
        <v>0</v>
      </c>
      <c r="Z20" s="13">
        <v>11</v>
      </c>
      <c r="AA20" s="13">
        <f t="shared" si="2"/>
        <v>11</v>
      </c>
      <c r="AB20" s="13">
        <f t="shared" si="7"/>
        <v>11</v>
      </c>
      <c r="AC20" s="13">
        <f t="shared" si="7"/>
        <v>11</v>
      </c>
      <c r="AD20" s="13">
        <v>10</v>
      </c>
      <c r="AE20" s="13">
        <v>8</v>
      </c>
      <c r="AF20" s="13">
        <v>58</v>
      </c>
      <c r="AG20" s="13">
        <v>0</v>
      </c>
      <c r="AH20" s="13">
        <v>8</v>
      </c>
      <c r="AI20" s="89">
        <f t="shared" si="3"/>
        <v>380</v>
      </c>
      <c r="AJ20" s="49">
        <f t="shared" si="4"/>
        <v>266</v>
      </c>
      <c r="AK20" s="13">
        <f t="shared" si="5"/>
        <v>70</v>
      </c>
      <c r="AL20" s="34">
        <f t="shared" si="6"/>
        <v>10</v>
      </c>
      <c r="AM20" s="79" t="s">
        <v>122</v>
      </c>
      <c r="AN20" s="4">
        <v>8</v>
      </c>
      <c r="AO20" s="4">
        <v>18</v>
      </c>
      <c r="AP20" s="4"/>
      <c r="AQ20" s="4"/>
      <c r="AR20" s="4"/>
      <c r="AS20" s="4"/>
      <c r="AT20" s="4"/>
      <c r="AU20" s="4"/>
      <c r="AV20" s="4"/>
      <c r="AW20" s="4"/>
    </row>
    <row r="21" spans="1:49" ht="30" customHeight="1" x14ac:dyDescent="0.25">
      <c r="A21" s="79" t="s">
        <v>123</v>
      </c>
      <c r="B21" s="13">
        <v>335</v>
      </c>
      <c r="C21" s="13">
        <v>7</v>
      </c>
      <c r="D21" s="13">
        <v>20</v>
      </c>
      <c r="E21" s="13">
        <v>6</v>
      </c>
      <c r="F21" s="13">
        <v>65</v>
      </c>
      <c r="G21" s="39">
        <f t="shared" si="0"/>
        <v>65</v>
      </c>
      <c r="H21" s="13">
        <v>7</v>
      </c>
      <c r="I21" s="13">
        <v>2</v>
      </c>
      <c r="J21" s="13">
        <v>65</v>
      </c>
      <c r="K21" s="13">
        <v>150</v>
      </c>
      <c r="L21" s="13">
        <f t="shared" si="1"/>
        <v>150</v>
      </c>
      <c r="M21" s="13">
        <v>0</v>
      </c>
      <c r="N21" s="13">
        <v>105</v>
      </c>
      <c r="O21" s="13">
        <v>235</v>
      </c>
      <c r="P21" s="13">
        <v>191</v>
      </c>
      <c r="Q21" s="13">
        <v>51</v>
      </c>
      <c r="R21" s="13">
        <v>6</v>
      </c>
      <c r="S21" s="13">
        <v>14</v>
      </c>
      <c r="T21" s="13">
        <v>0</v>
      </c>
      <c r="U21" s="12">
        <v>0</v>
      </c>
      <c r="V21" s="13">
        <v>5</v>
      </c>
      <c r="W21" s="13">
        <v>0</v>
      </c>
      <c r="X21" s="12">
        <v>12</v>
      </c>
      <c r="Y21" s="13">
        <v>0</v>
      </c>
      <c r="Z21" s="13">
        <v>7</v>
      </c>
      <c r="AA21" s="13">
        <f t="shared" si="2"/>
        <v>7</v>
      </c>
      <c r="AB21" s="13">
        <f t="shared" si="7"/>
        <v>7</v>
      </c>
      <c r="AC21" s="13">
        <f t="shared" si="7"/>
        <v>7</v>
      </c>
      <c r="AD21" s="13">
        <v>9</v>
      </c>
      <c r="AE21" s="13">
        <v>4</v>
      </c>
      <c r="AF21" s="13">
        <v>45</v>
      </c>
      <c r="AG21" s="13">
        <v>0</v>
      </c>
      <c r="AH21" s="13">
        <v>0</v>
      </c>
      <c r="AI21" s="89">
        <v>400</v>
      </c>
      <c r="AJ21" s="49">
        <v>300</v>
      </c>
      <c r="AK21" s="13">
        <f t="shared" si="5"/>
        <v>70</v>
      </c>
      <c r="AL21" s="34">
        <f t="shared" si="6"/>
        <v>2</v>
      </c>
      <c r="AM21" s="79" t="s">
        <v>123</v>
      </c>
      <c r="AN21" s="4">
        <v>7</v>
      </c>
      <c r="AO21" s="4">
        <v>11</v>
      </c>
      <c r="AP21" s="4"/>
      <c r="AQ21" s="4"/>
      <c r="AR21" s="4"/>
      <c r="AS21" s="4"/>
      <c r="AT21" s="4"/>
      <c r="AU21" s="4"/>
      <c r="AV21" s="4"/>
      <c r="AW21" s="4"/>
    </row>
    <row r="22" spans="1:49" ht="30" customHeight="1" x14ac:dyDescent="0.25">
      <c r="A22" s="79" t="s">
        <v>124</v>
      </c>
      <c r="B22" s="13">
        <v>336</v>
      </c>
      <c r="C22" s="13">
        <v>6</v>
      </c>
      <c r="D22" s="13">
        <v>8</v>
      </c>
      <c r="E22" s="13">
        <v>5</v>
      </c>
      <c r="F22" s="13">
        <v>70</v>
      </c>
      <c r="G22" s="39">
        <f t="shared" si="0"/>
        <v>70</v>
      </c>
      <c r="H22" s="13">
        <v>5</v>
      </c>
      <c r="I22" s="13">
        <v>0</v>
      </c>
      <c r="J22" s="13">
        <v>75</v>
      </c>
      <c r="K22" s="13">
        <v>120</v>
      </c>
      <c r="L22" s="13">
        <f t="shared" si="1"/>
        <v>120</v>
      </c>
      <c r="M22" s="13">
        <v>0</v>
      </c>
      <c r="N22" s="13">
        <v>110</v>
      </c>
      <c r="O22" s="13">
        <v>180</v>
      </c>
      <c r="P22" s="13">
        <v>125</v>
      </c>
      <c r="Q22" s="13">
        <v>37</v>
      </c>
      <c r="R22" s="13">
        <v>6</v>
      </c>
      <c r="S22" s="13">
        <v>12</v>
      </c>
      <c r="T22" s="13">
        <v>0</v>
      </c>
      <c r="U22" s="12">
        <v>0</v>
      </c>
      <c r="V22" s="13">
        <v>11</v>
      </c>
      <c r="W22" s="13">
        <v>0</v>
      </c>
      <c r="X22" s="12">
        <v>11</v>
      </c>
      <c r="Y22" s="12">
        <v>0</v>
      </c>
      <c r="Z22" s="13">
        <v>8</v>
      </c>
      <c r="AA22" s="13">
        <f t="shared" si="2"/>
        <v>8</v>
      </c>
      <c r="AB22" s="13">
        <f t="shared" si="7"/>
        <v>8</v>
      </c>
      <c r="AC22" s="13">
        <f t="shared" si="7"/>
        <v>8</v>
      </c>
      <c r="AD22" s="13">
        <v>11</v>
      </c>
      <c r="AE22" s="13">
        <v>7</v>
      </c>
      <c r="AF22" s="13">
        <v>55</v>
      </c>
      <c r="AG22" s="13">
        <v>0</v>
      </c>
      <c r="AH22" s="13">
        <v>0</v>
      </c>
      <c r="AI22" s="89">
        <v>479</v>
      </c>
      <c r="AJ22" s="49">
        <v>380</v>
      </c>
      <c r="AK22" s="13">
        <f t="shared" si="5"/>
        <v>75</v>
      </c>
      <c r="AL22" s="34">
        <f t="shared" si="6"/>
        <v>2</v>
      </c>
      <c r="AM22" s="79" t="s">
        <v>124</v>
      </c>
      <c r="AN22" s="4">
        <v>2</v>
      </c>
      <c r="AO22" s="4">
        <v>9</v>
      </c>
      <c r="AP22" s="4"/>
      <c r="AQ22" s="4"/>
      <c r="AR22" s="4"/>
      <c r="AS22" s="4"/>
      <c r="AT22" s="4"/>
      <c r="AU22" s="4"/>
      <c r="AV22" s="4"/>
      <c r="AW22" s="4"/>
    </row>
    <row r="23" spans="1:49" ht="30" customHeight="1" x14ac:dyDescent="0.25">
      <c r="A23" s="79" t="s">
        <v>125</v>
      </c>
      <c r="B23" s="36">
        <v>332</v>
      </c>
      <c r="C23" s="36">
        <v>4</v>
      </c>
      <c r="D23" s="36">
        <v>15</v>
      </c>
      <c r="E23" s="36">
        <v>5</v>
      </c>
      <c r="F23" s="36">
        <v>65</v>
      </c>
      <c r="G23" s="39">
        <f t="shared" si="0"/>
        <v>65</v>
      </c>
      <c r="H23" s="36">
        <v>12</v>
      </c>
      <c r="I23" s="36">
        <v>3</v>
      </c>
      <c r="J23" s="36">
        <v>74</v>
      </c>
      <c r="K23" s="36"/>
      <c r="L23" s="36">
        <v>0</v>
      </c>
      <c r="M23" s="36">
        <v>0</v>
      </c>
      <c r="N23" s="36">
        <v>105</v>
      </c>
      <c r="O23" s="36">
        <v>100</v>
      </c>
      <c r="P23" s="36">
        <v>0</v>
      </c>
      <c r="Q23" s="36">
        <v>45</v>
      </c>
      <c r="R23" s="36">
        <v>4</v>
      </c>
      <c r="S23" s="36">
        <v>10</v>
      </c>
      <c r="T23" s="36">
        <v>0</v>
      </c>
      <c r="U23" s="37">
        <v>0</v>
      </c>
      <c r="V23" s="36">
        <v>7</v>
      </c>
      <c r="W23" s="36">
        <v>0</v>
      </c>
      <c r="X23" s="37">
        <v>12</v>
      </c>
      <c r="Y23" s="37">
        <v>0</v>
      </c>
      <c r="Z23" s="37">
        <v>8</v>
      </c>
      <c r="AA23" s="37">
        <f t="shared" si="2"/>
        <v>8</v>
      </c>
      <c r="AB23" s="37">
        <f t="shared" si="7"/>
        <v>8</v>
      </c>
      <c r="AC23" s="37">
        <f t="shared" si="7"/>
        <v>8</v>
      </c>
      <c r="AD23" s="37">
        <v>9</v>
      </c>
      <c r="AE23" s="37">
        <v>4</v>
      </c>
      <c r="AF23" s="37">
        <v>52</v>
      </c>
      <c r="AG23" s="36">
        <v>0</v>
      </c>
      <c r="AH23" s="36">
        <v>0</v>
      </c>
      <c r="AI23" s="89">
        <v>421</v>
      </c>
      <c r="AJ23" s="90">
        <v>360</v>
      </c>
      <c r="AK23" s="13">
        <f t="shared" si="5"/>
        <v>70</v>
      </c>
      <c r="AL23" s="34">
        <f t="shared" si="6"/>
        <v>2</v>
      </c>
      <c r="AM23" s="79" t="s">
        <v>125</v>
      </c>
      <c r="AN23" s="4">
        <v>1</v>
      </c>
      <c r="AO23" s="4">
        <v>1</v>
      </c>
      <c r="AP23" s="4"/>
      <c r="AQ23" s="4"/>
      <c r="AR23" s="4"/>
      <c r="AS23" s="4"/>
      <c r="AT23" s="4"/>
      <c r="AU23" s="4"/>
      <c r="AV23" s="4"/>
      <c r="AW23" s="4"/>
    </row>
    <row r="24" spans="1:49" ht="30" customHeight="1" x14ac:dyDescent="0.25">
      <c r="A24" s="79" t="s">
        <v>126</v>
      </c>
      <c r="B24" s="36">
        <v>110</v>
      </c>
      <c r="C24" s="36">
        <v>2</v>
      </c>
      <c r="D24" s="36">
        <v>10</v>
      </c>
      <c r="E24" s="36">
        <v>2</v>
      </c>
      <c r="F24" s="36">
        <v>22</v>
      </c>
      <c r="G24" s="39">
        <f t="shared" si="0"/>
        <v>22</v>
      </c>
      <c r="H24" s="36">
        <v>0</v>
      </c>
      <c r="I24" s="36">
        <v>0</v>
      </c>
      <c r="J24" s="36">
        <v>19</v>
      </c>
      <c r="K24" s="36">
        <v>55</v>
      </c>
      <c r="L24" s="13">
        <f t="shared" si="1"/>
        <v>55</v>
      </c>
      <c r="M24" s="36">
        <v>25</v>
      </c>
      <c r="N24" s="36">
        <v>27</v>
      </c>
      <c r="O24" s="36">
        <v>50</v>
      </c>
      <c r="P24" s="36">
        <v>25</v>
      </c>
      <c r="Q24" s="36">
        <v>12</v>
      </c>
      <c r="R24" s="36">
        <v>0</v>
      </c>
      <c r="S24" s="36">
        <v>0</v>
      </c>
      <c r="T24" s="36">
        <v>2</v>
      </c>
      <c r="U24" s="37">
        <v>0</v>
      </c>
      <c r="V24" s="36">
        <v>5</v>
      </c>
      <c r="W24" s="36">
        <v>0</v>
      </c>
      <c r="X24" s="37">
        <v>6</v>
      </c>
      <c r="Y24" s="37">
        <v>0</v>
      </c>
      <c r="Z24" s="37">
        <v>4</v>
      </c>
      <c r="AA24" s="37">
        <f t="shared" si="2"/>
        <v>4</v>
      </c>
      <c r="AB24" s="37">
        <f t="shared" si="7"/>
        <v>4</v>
      </c>
      <c r="AC24" s="37">
        <f t="shared" si="7"/>
        <v>4</v>
      </c>
      <c r="AD24" s="37">
        <v>5</v>
      </c>
      <c r="AE24" s="37">
        <v>3</v>
      </c>
      <c r="AF24" s="37">
        <v>15</v>
      </c>
      <c r="AG24" s="38">
        <v>0</v>
      </c>
      <c r="AH24" s="38">
        <v>0</v>
      </c>
      <c r="AI24" s="89">
        <v>420</v>
      </c>
      <c r="AJ24" s="90">
        <v>340</v>
      </c>
      <c r="AK24" s="13">
        <f t="shared" si="5"/>
        <v>27</v>
      </c>
      <c r="AL24" s="34">
        <f t="shared" si="6"/>
        <v>2</v>
      </c>
      <c r="AM24" s="79" t="s">
        <v>126</v>
      </c>
      <c r="AN24" s="4">
        <v>1</v>
      </c>
      <c r="AO24" s="4">
        <v>1</v>
      </c>
      <c r="AP24" s="4"/>
      <c r="AQ24" s="4"/>
      <c r="AR24" s="4"/>
      <c r="AS24" s="4"/>
      <c r="AT24" s="4"/>
      <c r="AU24" s="4"/>
      <c r="AV24" s="4"/>
      <c r="AW24" s="4"/>
    </row>
    <row r="25" spans="1:49" ht="30" customHeight="1" x14ac:dyDescent="0.25">
      <c r="A25" s="79" t="s">
        <v>127</v>
      </c>
      <c r="B25" s="36">
        <v>316</v>
      </c>
      <c r="C25" s="36">
        <v>6</v>
      </c>
      <c r="D25" s="36">
        <v>69</v>
      </c>
      <c r="E25" s="36">
        <v>7</v>
      </c>
      <c r="F25" s="36">
        <v>62</v>
      </c>
      <c r="G25" s="39">
        <f t="shared" si="0"/>
        <v>62</v>
      </c>
      <c r="H25" s="36">
        <v>8</v>
      </c>
      <c r="I25" s="36">
        <v>1</v>
      </c>
      <c r="J25" s="36">
        <v>81</v>
      </c>
      <c r="K25" s="36">
        <v>190</v>
      </c>
      <c r="L25" s="36">
        <f t="shared" si="1"/>
        <v>190</v>
      </c>
      <c r="M25" s="36">
        <v>216</v>
      </c>
      <c r="N25" s="36">
        <v>80</v>
      </c>
      <c r="O25" s="36">
        <v>274</v>
      </c>
      <c r="P25" s="36">
        <v>274</v>
      </c>
      <c r="Q25" s="36">
        <v>50</v>
      </c>
      <c r="R25" s="36">
        <v>4</v>
      </c>
      <c r="S25" s="36">
        <v>13</v>
      </c>
      <c r="T25" s="36">
        <v>2</v>
      </c>
      <c r="U25" s="37">
        <v>0</v>
      </c>
      <c r="V25" s="36">
        <v>12</v>
      </c>
      <c r="W25" s="36">
        <v>0</v>
      </c>
      <c r="X25" s="37">
        <v>12</v>
      </c>
      <c r="Y25" s="37">
        <v>0</v>
      </c>
      <c r="Z25" s="37">
        <v>10</v>
      </c>
      <c r="AA25" s="37">
        <f t="shared" si="2"/>
        <v>10</v>
      </c>
      <c r="AB25" s="37">
        <f t="shared" si="7"/>
        <v>10</v>
      </c>
      <c r="AC25" s="37">
        <f t="shared" si="7"/>
        <v>10</v>
      </c>
      <c r="AD25" s="37">
        <v>7</v>
      </c>
      <c r="AE25" s="37">
        <v>4</v>
      </c>
      <c r="AF25" s="37">
        <v>65</v>
      </c>
      <c r="AG25" s="36">
        <v>1</v>
      </c>
      <c r="AH25" s="36">
        <v>17</v>
      </c>
      <c r="AI25" s="89">
        <f t="shared" ref="AI25" si="8">B25+15</f>
        <v>331</v>
      </c>
      <c r="AJ25" s="89">
        <f t="shared" ref="AJ25:AJ33" si="9">AI25/100*70</f>
        <v>231.70000000000002</v>
      </c>
      <c r="AK25" s="13">
        <f t="shared" si="5"/>
        <v>67</v>
      </c>
      <c r="AL25" s="34">
        <f t="shared" si="6"/>
        <v>19</v>
      </c>
      <c r="AM25" s="79" t="s">
        <v>127</v>
      </c>
      <c r="AN25" s="4">
        <v>13</v>
      </c>
      <c r="AO25" s="4">
        <v>16</v>
      </c>
      <c r="AP25" s="4">
        <v>1</v>
      </c>
      <c r="AQ25" s="4"/>
      <c r="AR25" s="4"/>
      <c r="AS25" s="4"/>
      <c r="AT25" s="4"/>
      <c r="AU25" s="4"/>
      <c r="AV25" s="4"/>
      <c r="AW25" s="4"/>
    </row>
    <row r="26" spans="1:49" ht="30" customHeight="1" x14ac:dyDescent="0.25">
      <c r="A26" s="79" t="s">
        <v>128</v>
      </c>
      <c r="B26" s="36">
        <v>265</v>
      </c>
      <c r="C26" s="36">
        <v>7</v>
      </c>
      <c r="D26" s="36">
        <v>98</v>
      </c>
      <c r="E26" s="36">
        <v>6</v>
      </c>
      <c r="F26" s="36">
        <v>55</v>
      </c>
      <c r="G26" s="39">
        <f t="shared" si="0"/>
        <v>55</v>
      </c>
      <c r="H26" s="36">
        <v>14</v>
      </c>
      <c r="I26" s="36">
        <v>2</v>
      </c>
      <c r="J26" s="36">
        <v>64</v>
      </c>
      <c r="K26" s="36">
        <v>15</v>
      </c>
      <c r="L26" s="36">
        <f t="shared" si="1"/>
        <v>15</v>
      </c>
      <c r="M26" s="36">
        <v>215</v>
      </c>
      <c r="N26" s="36">
        <v>103</v>
      </c>
      <c r="O26" s="36">
        <v>175</v>
      </c>
      <c r="P26" s="36">
        <v>175</v>
      </c>
      <c r="Q26" s="36">
        <v>50</v>
      </c>
      <c r="R26" s="36">
        <v>6</v>
      </c>
      <c r="S26" s="36">
        <v>21</v>
      </c>
      <c r="T26" s="36">
        <v>2</v>
      </c>
      <c r="U26" s="37">
        <v>0</v>
      </c>
      <c r="V26" s="38">
        <v>12</v>
      </c>
      <c r="W26" s="36">
        <v>0</v>
      </c>
      <c r="X26" s="37">
        <v>10</v>
      </c>
      <c r="Y26" s="37">
        <v>0</v>
      </c>
      <c r="Z26" s="37">
        <v>7</v>
      </c>
      <c r="AA26" s="37">
        <f t="shared" si="2"/>
        <v>7</v>
      </c>
      <c r="AB26" s="37">
        <f t="shared" si="7"/>
        <v>7</v>
      </c>
      <c r="AC26" s="37">
        <f t="shared" si="7"/>
        <v>7</v>
      </c>
      <c r="AD26" s="37">
        <v>8</v>
      </c>
      <c r="AE26" s="37">
        <v>7</v>
      </c>
      <c r="AF26" s="37">
        <v>55</v>
      </c>
      <c r="AG26" s="36">
        <v>0</v>
      </c>
      <c r="AH26" s="36">
        <v>11</v>
      </c>
      <c r="AI26" s="89">
        <f t="shared" ref="AI26:AI33" si="10">B26+15</f>
        <v>280</v>
      </c>
      <c r="AJ26" s="89">
        <f t="shared" si="9"/>
        <v>196</v>
      </c>
      <c r="AK26" s="13">
        <f t="shared" si="5"/>
        <v>60</v>
      </c>
      <c r="AL26" s="34">
        <f t="shared" si="6"/>
        <v>13</v>
      </c>
      <c r="AM26" s="79" t="s">
        <v>128</v>
      </c>
      <c r="AN26" s="4">
        <v>6</v>
      </c>
      <c r="AO26" s="4">
        <v>11</v>
      </c>
      <c r="AP26" s="4"/>
      <c r="AQ26" s="4"/>
      <c r="AR26" s="4"/>
      <c r="AS26" s="4"/>
      <c r="AT26" s="4"/>
      <c r="AU26" s="4"/>
      <c r="AV26" s="4"/>
      <c r="AW26" s="4"/>
    </row>
    <row r="27" spans="1:49" ht="30" customHeight="1" x14ac:dyDescent="0.25">
      <c r="A27" s="79" t="s">
        <v>129</v>
      </c>
      <c r="B27" s="13">
        <v>316</v>
      </c>
      <c r="C27" s="13">
        <v>8</v>
      </c>
      <c r="D27" s="13">
        <v>95</v>
      </c>
      <c r="E27" s="13">
        <v>0</v>
      </c>
      <c r="F27" s="13">
        <v>42</v>
      </c>
      <c r="G27" s="39">
        <f t="shared" si="0"/>
        <v>42</v>
      </c>
      <c r="H27" s="13">
        <v>7</v>
      </c>
      <c r="I27" s="13">
        <v>0</v>
      </c>
      <c r="J27" s="13">
        <v>65</v>
      </c>
      <c r="K27" s="13">
        <v>198</v>
      </c>
      <c r="L27" s="13">
        <f t="shared" si="1"/>
        <v>198</v>
      </c>
      <c r="M27" s="13">
        <v>216</v>
      </c>
      <c r="N27" s="13">
        <v>113</v>
      </c>
      <c r="O27" s="13">
        <v>50</v>
      </c>
      <c r="P27" s="13">
        <v>50</v>
      </c>
      <c r="Q27" s="13">
        <v>52</v>
      </c>
      <c r="R27" s="13">
        <v>2</v>
      </c>
      <c r="S27" s="13">
        <v>21</v>
      </c>
      <c r="T27" s="13"/>
      <c r="U27" s="12">
        <v>0</v>
      </c>
      <c r="V27" s="13">
        <v>7</v>
      </c>
      <c r="W27" s="13">
        <v>0</v>
      </c>
      <c r="X27" s="12">
        <v>12</v>
      </c>
      <c r="Y27" s="12">
        <v>0</v>
      </c>
      <c r="Z27" s="13">
        <v>8</v>
      </c>
      <c r="AA27" s="13">
        <f t="shared" si="2"/>
        <v>8</v>
      </c>
      <c r="AB27" s="13">
        <f t="shared" si="7"/>
        <v>8</v>
      </c>
      <c r="AC27" s="13">
        <f t="shared" si="7"/>
        <v>8</v>
      </c>
      <c r="AD27" s="13">
        <v>6</v>
      </c>
      <c r="AE27" s="13">
        <v>9</v>
      </c>
      <c r="AF27" s="13">
        <v>52</v>
      </c>
      <c r="AG27" s="13">
        <v>0</v>
      </c>
      <c r="AH27" s="13">
        <v>14</v>
      </c>
      <c r="AI27" s="89">
        <f t="shared" si="10"/>
        <v>331</v>
      </c>
      <c r="AJ27" s="89">
        <f t="shared" si="9"/>
        <v>231.70000000000002</v>
      </c>
      <c r="AK27" s="13">
        <f t="shared" si="5"/>
        <v>47</v>
      </c>
      <c r="AL27" s="34">
        <f t="shared" si="6"/>
        <v>16</v>
      </c>
      <c r="AM27" s="79" t="s">
        <v>129</v>
      </c>
      <c r="AN27" s="4">
        <v>1</v>
      </c>
      <c r="AO27" s="4">
        <v>3</v>
      </c>
      <c r="AP27" s="4"/>
      <c r="AQ27" s="4"/>
      <c r="AR27" s="4"/>
      <c r="AS27" s="4"/>
      <c r="AT27" s="4"/>
      <c r="AU27" s="4"/>
      <c r="AV27" s="4"/>
      <c r="AW27" s="4"/>
    </row>
    <row r="28" spans="1:49" ht="30" customHeight="1" x14ac:dyDescent="0.25">
      <c r="A28" s="79" t="s">
        <v>130</v>
      </c>
      <c r="B28" s="13">
        <v>95</v>
      </c>
      <c r="C28" s="13">
        <v>4</v>
      </c>
      <c r="D28" s="13">
        <v>40</v>
      </c>
      <c r="E28" s="34">
        <v>0</v>
      </c>
      <c r="F28" s="13">
        <v>22</v>
      </c>
      <c r="G28" s="39">
        <f t="shared" si="0"/>
        <v>22</v>
      </c>
      <c r="H28" s="13">
        <v>0</v>
      </c>
      <c r="I28" s="13">
        <v>0</v>
      </c>
      <c r="J28" s="13">
        <v>18</v>
      </c>
      <c r="K28" s="13">
        <v>65</v>
      </c>
      <c r="L28" s="13">
        <f t="shared" si="1"/>
        <v>65</v>
      </c>
      <c r="M28" s="13">
        <v>72</v>
      </c>
      <c r="N28" s="13">
        <v>38</v>
      </c>
      <c r="O28" s="13">
        <v>65</v>
      </c>
      <c r="P28" s="13">
        <v>65</v>
      </c>
      <c r="Q28" s="16">
        <v>6</v>
      </c>
      <c r="R28" s="13">
        <v>0</v>
      </c>
      <c r="S28" s="13">
        <v>0</v>
      </c>
      <c r="T28" s="16">
        <v>0</v>
      </c>
      <c r="U28" s="12">
        <v>0</v>
      </c>
      <c r="V28" s="13">
        <v>4</v>
      </c>
      <c r="W28" s="13">
        <v>0</v>
      </c>
      <c r="X28" s="16">
        <v>4</v>
      </c>
      <c r="Y28" s="12">
        <v>0</v>
      </c>
      <c r="Z28" s="13">
        <v>2</v>
      </c>
      <c r="AA28" s="13">
        <f t="shared" si="2"/>
        <v>2</v>
      </c>
      <c r="AB28" s="13">
        <f t="shared" si="7"/>
        <v>2</v>
      </c>
      <c r="AC28" s="13">
        <f t="shared" si="7"/>
        <v>2</v>
      </c>
      <c r="AD28" s="13">
        <v>4</v>
      </c>
      <c r="AE28" s="13">
        <v>6</v>
      </c>
      <c r="AF28" s="13">
        <v>18</v>
      </c>
      <c r="AG28" s="13">
        <v>0</v>
      </c>
      <c r="AH28" s="13">
        <v>16</v>
      </c>
      <c r="AI28" s="89">
        <f t="shared" si="10"/>
        <v>110</v>
      </c>
      <c r="AJ28" s="89">
        <f t="shared" si="9"/>
        <v>77</v>
      </c>
      <c r="AK28" s="13">
        <f t="shared" si="5"/>
        <v>27</v>
      </c>
      <c r="AL28" s="34">
        <f t="shared" si="6"/>
        <v>18</v>
      </c>
      <c r="AM28" s="79" t="s">
        <v>130</v>
      </c>
      <c r="AN28" s="4">
        <v>1</v>
      </c>
      <c r="AO28" s="4">
        <v>1</v>
      </c>
      <c r="AP28" s="4"/>
      <c r="AQ28" s="4"/>
      <c r="AR28" s="4"/>
      <c r="AS28" s="4"/>
      <c r="AT28" s="4"/>
      <c r="AU28" s="4"/>
      <c r="AV28" s="4"/>
      <c r="AW28" s="4"/>
    </row>
    <row r="29" spans="1:49" ht="30" customHeight="1" x14ac:dyDescent="0.25">
      <c r="A29" s="79" t="s">
        <v>131</v>
      </c>
      <c r="B29" s="13">
        <v>90</v>
      </c>
      <c r="C29" s="13">
        <v>3</v>
      </c>
      <c r="D29" s="13">
        <v>35</v>
      </c>
      <c r="E29" s="13">
        <v>0</v>
      </c>
      <c r="F29" s="13">
        <v>21</v>
      </c>
      <c r="G29" s="39">
        <f t="shared" si="0"/>
        <v>21</v>
      </c>
      <c r="H29" s="13">
        <v>0</v>
      </c>
      <c r="I29" s="13">
        <v>0</v>
      </c>
      <c r="J29" s="13">
        <v>21</v>
      </c>
      <c r="K29" s="13">
        <v>64</v>
      </c>
      <c r="L29" s="13">
        <f t="shared" si="1"/>
        <v>64</v>
      </c>
      <c r="M29" s="13">
        <v>69</v>
      </c>
      <c r="N29" s="13">
        <v>28</v>
      </c>
      <c r="O29" s="13">
        <v>25</v>
      </c>
      <c r="P29" s="13">
        <v>25</v>
      </c>
      <c r="Q29" s="13">
        <v>8</v>
      </c>
      <c r="R29" s="13">
        <v>0</v>
      </c>
      <c r="S29" s="13">
        <v>0</v>
      </c>
      <c r="T29" s="13">
        <v>0</v>
      </c>
      <c r="U29" s="12">
        <v>0</v>
      </c>
      <c r="V29" s="13">
        <v>4</v>
      </c>
      <c r="W29" s="13">
        <v>0</v>
      </c>
      <c r="X29" s="12">
        <v>5</v>
      </c>
      <c r="Y29" s="12">
        <v>0</v>
      </c>
      <c r="Z29" s="13">
        <v>3</v>
      </c>
      <c r="AA29" s="13">
        <f t="shared" si="2"/>
        <v>3</v>
      </c>
      <c r="AB29" s="13">
        <f t="shared" si="7"/>
        <v>3</v>
      </c>
      <c r="AC29" s="13">
        <f t="shared" si="7"/>
        <v>3</v>
      </c>
      <c r="AD29" s="13">
        <v>4</v>
      </c>
      <c r="AE29" s="13">
        <v>2</v>
      </c>
      <c r="AF29" s="13">
        <v>12</v>
      </c>
      <c r="AG29" s="13">
        <v>1</v>
      </c>
      <c r="AH29" s="13">
        <v>16</v>
      </c>
      <c r="AI29" s="89">
        <f t="shared" si="10"/>
        <v>105</v>
      </c>
      <c r="AJ29" s="89">
        <f t="shared" si="9"/>
        <v>73.5</v>
      </c>
      <c r="AK29" s="13">
        <f t="shared" si="5"/>
        <v>26</v>
      </c>
      <c r="AL29" s="34">
        <f t="shared" si="6"/>
        <v>18</v>
      </c>
      <c r="AM29" s="79" t="s">
        <v>131</v>
      </c>
      <c r="AN29" s="4">
        <v>2</v>
      </c>
      <c r="AO29" s="4">
        <v>1</v>
      </c>
      <c r="AP29" s="4"/>
      <c r="AQ29" s="4"/>
      <c r="AR29" s="4"/>
      <c r="AS29" s="4"/>
      <c r="AT29" s="4"/>
      <c r="AU29" s="4"/>
      <c r="AV29" s="4"/>
      <c r="AW29" s="4"/>
    </row>
    <row r="30" spans="1:49" ht="30" customHeight="1" x14ac:dyDescent="0.25">
      <c r="A30" s="79" t="s">
        <v>132</v>
      </c>
      <c r="B30" s="13">
        <v>312</v>
      </c>
      <c r="C30" s="13">
        <v>6</v>
      </c>
      <c r="D30" s="13">
        <v>95</v>
      </c>
      <c r="E30" s="13">
        <v>0</v>
      </c>
      <c r="F30" s="13">
        <v>62</v>
      </c>
      <c r="G30" s="39">
        <f t="shared" si="0"/>
        <v>62</v>
      </c>
      <c r="H30" s="13">
        <v>9</v>
      </c>
      <c r="I30" s="13">
        <v>2</v>
      </c>
      <c r="J30" s="13">
        <v>86</v>
      </c>
      <c r="K30" s="13">
        <v>192</v>
      </c>
      <c r="L30" s="13">
        <f t="shared" si="1"/>
        <v>192</v>
      </c>
      <c r="M30" s="13">
        <v>210</v>
      </c>
      <c r="N30" s="13">
        <v>110</v>
      </c>
      <c r="O30" s="13">
        <v>40</v>
      </c>
      <c r="P30" s="13">
        <v>40</v>
      </c>
      <c r="Q30" s="13">
        <v>52</v>
      </c>
      <c r="R30" s="13">
        <v>0</v>
      </c>
      <c r="S30" s="13">
        <v>16</v>
      </c>
      <c r="T30" s="13">
        <v>0</v>
      </c>
      <c r="U30" s="12">
        <v>0</v>
      </c>
      <c r="V30" s="13">
        <v>10</v>
      </c>
      <c r="W30" s="13">
        <v>0</v>
      </c>
      <c r="X30" s="12">
        <v>15</v>
      </c>
      <c r="Y30" s="12">
        <v>0</v>
      </c>
      <c r="Z30" s="13">
        <v>11</v>
      </c>
      <c r="AA30" s="13">
        <f t="shared" si="2"/>
        <v>11</v>
      </c>
      <c r="AB30" s="13">
        <f t="shared" si="7"/>
        <v>11</v>
      </c>
      <c r="AC30" s="13">
        <f t="shared" si="7"/>
        <v>11</v>
      </c>
      <c r="AD30" s="13">
        <v>10</v>
      </c>
      <c r="AE30" s="13">
        <v>7</v>
      </c>
      <c r="AF30" s="13">
        <v>52</v>
      </c>
      <c r="AG30" s="13">
        <v>1</v>
      </c>
      <c r="AH30" s="13">
        <v>17</v>
      </c>
      <c r="AI30" s="89">
        <f t="shared" si="10"/>
        <v>327</v>
      </c>
      <c r="AJ30" s="89">
        <f t="shared" si="9"/>
        <v>228.9</v>
      </c>
      <c r="AK30" s="13">
        <f t="shared" si="5"/>
        <v>67</v>
      </c>
      <c r="AL30" s="34">
        <f t="shared" si="6"/>
        <v>19</v>
      </c>
      <c r="AM30" s="79" t="s">
        <v>132</v>
      </c>
      <c r="AN30" s="4">
        <v>1</v>
      </c>
      <c r="AO30" s="4">
        <v>3</v>
      </c>
      <c r="AP30" s="4"/>
      <c r="AQ30" s="4"/>
      <c r="AR30" s="4"/>
      <c r="AS30" s="4"/>
      <c r="AT30" s="4"/>
      <c r="AU30" s="4"/>
      <c r="AV30" s="4"/>
      <c r="AW30" s="4"/>
    </row>
    <row r="31" spans="1:49" ht="30" customHeight="1" x14ac:dyDescent="0.25">
      <c r="A31" s="58" t="s">
        <v>133</v>
      </c>
      <c r="B31" s="13">
        <v>112</v>
      </c>
      <c r="C31" s="13">
        <v>4</v>
      </c>
      <c r="D31" s="13">
        <v>65</v>
      </c>
      <c r="E31" s="13">
        <v>0</v>
      </c>
      <c r="F31" s="13">
        <v>40</v>
      </c>
      <c r="G31" s="39">
        <f t="shared" si="0"/>
        <v>40</v>
      </c>
      <c r="H31" s="13">
        <v>0</v>
      </c>
      <c r="I31" s="13">
        <v>0</v>
      </c>
      <c r="J31" s="13">
        <v>25</v>
      </c>
      <c r="K31" s="13">
        <v>66</v>
      </c>
      <c r="L31" s="13">
        <f t="shared" si="1"/>
        <v>66</v>
      </c>
      <c r="M31" s="13">
        <v>75</v>
      </c>
      <c r="N31" s="13">
        <v>42</v>
      </c>
      <c r="O31" s="13">
        <v>25</v>
      </c>
      <c r="P31" s="13">
        <v>25</v>
      </c>
      <c r="Q31" s="13">
        <v>15</v>
      </c>
      <c r="R31" s="13">
        <v>0</v>
      </c>
      <c r="S31" s="13">
        <v>0</v>
      </c>
      <c r="T31" s="13">
        <v>0</v>
      </c>
      <c r="U31" s="12">
        <v>0</v>
      </c>
      <c r="V31" s="13">
        <v>6</v>
      </c>
      <c r="W31" s="13">
        <v>0</v>
      </c>
      <c r="X31" s="12">
        <v>5</v>
      </c>
      <c r="Y31" s="12">
        <v>0</v>
      </c>
      <c r="Z31" s="13">
        <v>4</v>
      </c>
      <c r="AA31" s="13">
        <f t="shared" si="2"/>
        <v>4</v>
      </c>
      <c r="AB31" s="13">
        <f t="shared" si="7"/>
        <v>4</v>
      </c>
      <c r="AC31" s="13">
        <f t="shared" si="7"/>
        <v>4</v>
      </c>
      <c r="AD31" s="13">
        <v>4</v>
      </c>
      <c r="AE31" s="13">
        <v>2</v>
      </c>
      <c r="AF31" s="13">
        <v>10</v>
      </c>
      <c r="AG31" s="13">
        <v>0</v>
      </c>
      <c r="AH31" s="13">
        <v>11</v>
      </c>
      <c r="AI31" s="89">
        <f t="shared" si="10"/>
        <v>127</v>
      </c>
      <c r="AJ31" s="89">
        <f t="shared" si="9"/>
        <v>88.9</v>
      </c>
      <c r="AK31" s="13">
        <f t="shared" si="5"/>
        <v>45</v>
      </c>
      <c r="AL31" s="34">
        <f t="shared" si="6"/>
        <v>13</v>
      </c>
      <c r="AM31" s="58" t="s">
        <v>133</v>
      </c>
      <c r="AN31" s="4">
        <v>1</v>
      </c>
      <c r="AO31" s="4">
        <v>1</v>
      </c>
      <c r="AP31" s="4"/>
      <c r="AQ31" s="4"/>
      <c r="AR31" s="4"/>
      <c r="AS31" s="4"/>
      <c r="AT31" s="4">
        <v>1</v>
      </c>
      <c r="AU31" s="4"/>
      <c r="AV31" s="4">
        <v>1</v>
      </c>
      <c r="AW31" s="4"/>
    </row>
    <row r="32" spans="1:49" ht="30" customHeight="1" x14ac:dyDescent="0.25">
      <c r="A32" s="79" t="s">
        <v>134</v>
      </c>
      <c r="B32" s="13">
        <v>336</v>
      </c>
      <c r="C32" s="13">
        <v>5</v>
      </c>
      <c r="D32" s="13">
        <v>98</v>
      </c>
      <c r="E32" s="13">
        <v>6</v>
      </c>
      <c r="F32" s="13">
        <v>65</v>
      </c>
      <c r="G32" s="39">
        <f t="shared" si="0"/>
        <v>65</v>
      </c>
      <c r="H32" s="36">
        <v>12</v>
      </c>
      <c r="I32" s="36">
        <v>4</v>
      </c>
      <c r="J32" s="13">
        <v>75</v>
      </c>
      <c r="K32" s="13">
        <v>192</v>
      </c>
      <c r="L32" s="13">
        <f t="shared" si="1"/>
        <v>192</v>
      </c>
      <c r="M32" s="13">
        <v>215</v>
      </c>
      <c r="N32" s="13">
        <v>110</v>
      </c>
      <c r="O32" s="13">
        <v>50</v>
      </c>
      <c r="P32" s="13">
        <v>50</v>
      </c>
      <c r="Q32" s="13">
        <v>45</v>
      </c>
      <c r="R32" s="13">
        <v>0</v>
      </c>
      <c r="S32" s="13">
        <v>10</v>
      </c>
      <c r="T32" s="13">
        <v>0</v>
      </c>
      <c r="U32" s="12">
        <v>0</v>
      </c>
      <c r="V32" s="13">
        <v>8</v>
      </c>
      <c r="W32" s="13">
        <v>0</v>
      </c>
      <c r="X32" s="12">
        <v>9</v>
      </c>
      <c r="Y32" s="12">
        <v>0</v>
      </c>
      <c r="Z32" s="13">
        <v>11</v>
      </c>
      <c r="AA32" s="13">
        <f t="shared" si="2"/>
        <v>11</v>
      </c>
      <c r="AB32" s="13">
        <f t="shared" si="7"/>
        <v>11</v>
      </c>
      <c r="AC32" s="13">
        <f t="shared" si="7"/>
        <v>11</v>
      </c>
      <c r="AD32" s="13">
        <v>9</v>
      </c>
      <c r="AE32" s="13">
        <v>6</v>
      </c>
      <c r="AF32" s="13">
        <v>45</v>
      </c>
      <c r="AG32" s="13">
        <v>1</v>
      </c>
      <c r="AH32" s="13">
        <v>26</v>
      </c>
      <c r="AI32" s="89">
        <f t="shared" si="10"/>
        <v>351</v>
      </c>
      <c r="AJ32" s="89">
        <f t="shared" si="9"/>
        <v>245.7</v>
      </c>
      <c r="AK32" s="13">
        <f t="shared" si="5"/>
        <v>70</v>
      </c>
      <c r="AL32" s="34">
        <f t="shared" si="6"/>
        <v>28</v>
      </c>
      <c r="AM32" s="79" t="s">
        <v>134</v>
      </c>
      <c r="AN32" s="4">
        <v>0</v>
      </c>
      <c r="AO32" s="4">
        <v>0</v>
      </c>
      <c r="AP32" s="4">
        <v>1</v>
      </c>
      <c r="AQ32" s="4"/>
      <c r="AR32" s="4"/>
      <c r="AS32" s="4"/>
      <c r="AT32" s="4">
        <v>1</v>
      </c>
      <c r="AU32" s="4"/>
      <c r="AV32" s="4">
        <v>1</v>
      </c>
      <c r="AW32" s="4"/>
    </row>
    <row r="33" spans="1:49" ht="30" customHeight="1" x14ac:dyDescent="0.25">
      <c r="A33" s="79" t="s">
        <v>135</v>
      </c>
      <c r="B33" s="13">
        <v>342</v>
      </c>
      <c r="C33" s="13">
        <v>7</v>
      </c>
      <c r="D33" s="13">
        <v>95</v>
      </c>
      <c r="E33" s="13">
        <v>7</v>
      </c>
      <c r="F33" s="13">
        <v>62</v>
      </c>
      <c r="G33" s="39">
        <f t="shared" si="0"/>
        <v>62</v>
      </c>
      <c r="H33" s="13">
        <v>15</v>
      </c>
      <c r="I33" s="13">
        <v>3</v>
      </c>
      <c r="J33" s="13">
        <v>95</v>
      </c>
      <c r="K33" s="13">
        <v>210</v>
      </c>
      <c r="L33" s="13">
        <f t="shared" si="1"/>
        <v>210</v>
      </c>
      <c r="M33" s="13">
        <v>222</v>
      </c>
      <c r="N33" s="13">
        <v>118</v>
      </c>
      <c r="O33" s="13">
        <v>250</v>
      </c>
      <c r="P33" s="13">
        <v>250</v>
      </c>
      <c r="Q33" s="13">
        <v>48</v>
      </c>
      <c r="R33" s="13">
        <v>0</v>
      </c>
      <c r="S33" s="13">
        <v>22</v>
      </c>
      <c r="T33" s="13">
        <v>0</v>
      </c>
      <c r="U33" s="12">
        <v>0</v>
      </c>
      <c r="V33" s="13">
        <v>10</v>
      </c>
      <c r="W33" s="13">
        <v>0</v>
      </c>
      <c r="X33" s="12">
        <v>15</v>
      </c>
      <c r="Y33" s="12">
        <v>0</v>
      </c>
      <c r="Z33" s="13">
        <v>9</v>
      </c>
      <c r="AA33" s="13">
        <f t="shared" si="2"/>
        <v>9</v>
      </c>
      <c r="AB33" s="13">
        <f t="shared" si="7"/>
        <v>9</v>
      </c>
      <c r="AC33" s="13">
        <f t="shared" si="7"/>
        <v>9</v>
      </c>
      <c r="AD33" s="13">
        <v>8</v>
      </c>
      <c r="AE33" s="13">
        <v>7</v>
      </c>
      <c r="AF33" s="13">
        <v>55</v>
      </c>
      <c r="AG33" s="13">
        <v>1</v>
      </c>
      <c r="AH33" s="13">
        <v>19</v>
      </c>
      <c r="AI33" s="89">
        <f t="shared" si="10"/>
        <v>357</v>
      </c>
      <c r="AJ33" s="89">
        <f t="shared" si="9"/>
        <v>249.89999999999998</v>
      </c>
      <c r="AK33" s="13">
        <f t="shared" si="5"/>
        <v>67</v>
      </c>
      <c r="AL33" s="34">
        <f t="shared" si="6"/>
        <v>21</v>
      </c>
      <c r="AM33" s="79" t="s">
        <v>135</v>
      </c>
      <c r="AN33" s="4">
        <v>3</v>
      </c>
      <c r="AO33" s="4">
        <v>6</v>
      </c>
      <c r="AP33" s="4"/>
      <c r="AQ33" s="4"/>
      <c r="AR33" s="4"/>
      <c r="AS33" s="4"/>
      <c r="AT33" s="4">
        <v>1</v>
      </c>
      <c r="AU33" s="4"/>
      <c r="AV33" s="4">
        <v>1</v>
      </c>
      <c r="AW33" s="4"/>
    </row>
    <row r="34" spans="1:49" ht="25.5" customHeight="1" x14ac:dyDescent="0.25">
      <c r="A34" s="16" t="s">
        <v>27</v>
      </c>
      <c r="B34" s="34">
        <f t="shared" ref="B34:AH34" si="11">SUM(B4:B33)</f>
        <v>8743</v>
      </c>
      <c r="C34" s="34">
        <f t="shared" si="11"/>
        <v>190</v>
      </c>
      <c r="D34" s="34">
        <f t="shared" si="11"/>
        <v>2185</v>
      </c>
      <c r="E34" s="34">
        <f t="shared" si="11"/>
        <v>153</v>
      </c>
      <c r="F34" s="34">
        <f t="shared" si="11"/>
        <v>1403</v>
      </c>
      <c r="G34" s="34">
        <f t="shared" si="11"/>
        <v>1403</v>
      </c>
      <c r="H34" s="34">
        <f t="shared" si="11"/>
        <v>246</v>
      </c>
      <c r="I34" s="34">
        <f t="shared" si="11"/>
        <v>44</v>
      </c>
      <c r="J34" s="34">
        <f t="shared" si="11"/>
        <v>1932</v>
      </c>
      <c r="K34" s="34">
        <f t="shared" si="11"/>
        <v>4594</v>
      </c>
      <c r="L34" s="34">
        <f t="shared" si="11"/>
        <v>4594</v>
      </c>
      <c r="M34" s="34">
        <f t="shared" si="11"/>
        <v>2860</v>
      </c>
      <c r="N34" s="34">
        <f t="shared" si="11"/>
        <v>2697</v>
      </c>
      <c r="O34" s="34">
        <f t="shared" si="11"/>
        <v>4937</v>
      </c>
      <c r="P34" s="34">
        <f t="shared" si="11"/>
        <v>5278</v>
      </c>
      <c r="Q34" s="34">
        <f t="shared" si="11"/>
        <v>1170</v>
      </c>
      <c r="R34" s="34">
        <f t="shared" si="11"/>
        <v>124</v>
      </c>
      <c r="S34" s="34">
        <f t="shared" si="11"/>
        <v>478</v>
      </c>
      <c r="T34" s="34">
        <f t="shared" si="11"/>
        <v>111</v>
      </c>
      <c r="U34" s="34">
        <f t="shared" si="11"/>
        <v>0</v>
      </c>
      <c r="V34" s="34">
        <f t="shared" si="11"/>
        <v>247</v>
      </c>
      <c r="W34" s="34">
        <f t="shared" si="11"/>
        <v>0</v>
      </c>
      <c r="X34" s="34">
        <f t="shared" si="11"/>
        <v>336</v>
      </c>
      <c r="Y34" s="34">
        <f t="shared" si="11"/>
        <v>0</v>
      </c>
      <c r="Z34" s="34">
        <f t="shared" si="11"/>
        <v>252</v>
      </c>
      <c r="AA34" s="34">
        <f t="shared" si="11"/>
        <v>252</v>
      </c>
      <c r="AB34" s="34">
        <f t="shared" si="11"/>
        <v>252</v>
      </c>
      <c r="AC34" s="34">
        <f t="shared" si="11"/>
        <v>252</v>
      </c>
      <c r="AD34" s="34">
        <f t="shared" si="11"/>
        <v>250</v>
      </c>
      <c r="AE34" s="34">
        <f t="shared" si="11"/>
        <v>180</v>
      </c>
      <c r="AF34" s="34">
        <f t="shared" si="11"/>
        <v>1233</v>
      </c>
      <c r="AG34" s="34">
        <f t="shared" si="11"/>
        <v>10</v>
      </c>
      <c r="AH34" s="34">
        <f t="shared" si="11"/>
        <v>417</v>
      </c>
      <c r="AI34" s="16">
        <f t="shared" ref="AI34:AK34" si="12">SUM(AI4:AI33)</f>
        <v>9740</v>
      </c>
      <c r="AJ34" s="16">
        <f t="shared" si="12"/>
        <v>6993.9999999999982</v>
      </c>
      <c r="AK34" s="16">
        <f t="shared" si="12"/>
        <v>1553</v>
      </c>
      <c r="AL34" s="34">
        <f t="shared" ref="AL34" si="13">AH34+2</f>
        <v>419</v>
      </c>
      <c r="AM34" s="5" t="s">
        <v>27</v>
      </c>
      <c r="AN34" s="4">
        <f>SUM(AN4:AN33)</f>
        <v>97</v>
      </c>
      <c r="AO34" s="4">
        <f>SUM(AO4:AO33)</f>
        <v>234</v>
      </c>
      <c r="AP34" s="4">
        <f t="shared" ref="AP34:AW34" si="14">SUM(AP4:AP33)</f>
        <v>5</v>
      </c>
      <c r="AQ34" s="4">
        <f t="shared" si="14"/>
        <v>0</v>
      </c>
      <c r="AR34" s="4">
        <f t="shared" si="14"/>
        <v>0</v>
      </c>
      <c r="AS34" s="4">
        <f t="shared" si="14"/>
        <v>0</v>
      </c>
      <c r="AT34" s="4">
        <f>SUM(AT4:AT33)</f>
        <v>9</v>
      </c>
      <c r="AU34" s="4">
        <f t="shared" si="14"/>
        <v>3</v>
      </c>
      <c r="AV34" s="4">
        <f t="shared" si="14"/>
        <v>6</v>
      </c>
      <c r="AW34" s="4">
        <f t="shared" si="14"/>
        <v>0</v>
      </c>
    </row>
    <row r="35" spans="1:49" ht="10.5" customHeight="1" x14ac:dyDescent="0.25"/>
    <row r="36" spans="1:49" ht="22.5" customHeight="1" x14ac:dyDescent="0.25">
      <c r="H36" s="77" t="s">
        <v>65</v>
      </c>
      <c r="I36" s="113">
        <f>AO34</f>
        <v>234</v>
      </c>
      <c r="K36" s="96" t="s">
        <v>57</v>
      </c>
      <c r="L36" s="97"/>
      <c r="M36" s="98"/>
      <c r="P36" s="103" t="s">
        <v>28</v>
      </c>
      <c r="Q36" s="104"/>
      <c r="R36" s="5">
        <f>AR34</f>
        <v>0</v>
      </c>
      <c r="T36" s="93" t="s">
        <v>29</v>
      </c>
      <c r="U36" s="94"/>
      <c r="V36" s="111">
        <v>25752.65</v>
      </c>
      <c r="W36" s="112"/>
      <c r="X36" s="71"/>
      <c r="Y36" s="71"/>
      <c r="Z36" s="71"/>
      <c r="AA36" s="68"/>
      <c r="AB36" s="71"/>
      <c r="AC36" s="71"/>
      <c r="AD36" s="71"/>
      <c r="AF36" s="2"/>
    </row>
    <row r="37" spans="1:49" ht="18.75" customHeight="1" x14ac:dyDescent="0.25">
      <c r="C37" s="75" t="s">
        <v>101</v>
      </c>
      <c r="G37" s="2"/>
      <c r="H37" s="78" t="s">
        <v>66</v>
      </c>
      <c r="I37" s="113">
        <f>AN34</f>
        <v>97</v>
      </c>
      <c r="K37" s="6"/>
      <c r="L37" s="69" t="s">
        <v>30</v>
      </c>
      <c r="M37" s="114">
        <f>AV34</f>
        <v>6</v>
      </c>
      <c r="P37" s="103" t="s">
        <v>31</v>
      </c>
      <c r="Q37" s="104"/>
      <c r="R37" s="5">
        <f>AS34</f>
        <v>0</v>
      </c>
      <c r="T37" s="93" t="s">
        <v>32</v>
      </c>
      <c r="U37" s="94"/>
      <c r="V37" s="111">
        <v>51505.3</v>
      </c>
      <c r="W37" s="112"/>
      <c r="X37" s="71"/>
      <c r="Y37" s="71"/>
      <c r="Z37" s="71"/>
      <c r="AA37" s="71"/>
      <c r="AB37" s="71"/>
      <c r="AD37" s="10" t="s">
        <v>60</v>
      </c>
      <c r="AE37" s="71"/>
      <c r="AG37" s="2"/>
    </row>
    <row r="38" spans="1:49" ht="15" customHeight="1" x14ac:dyDescent="0.25">
      <c r="C38" s="75" t="s">
        <v>102</v>
      </c>
      <c r="G38" s="2"/>
      <c r="H38" s="77" t="s">
        <v>58</v>
      </c>
      <c r="I38" s="113">
        <f>AP34</f>
        <v>5</v>
      </c>
      <c r="K38" s="6"/>
      <c r="L38" s="17" t="s">
        <v>33</v>
      </c>
      <c r="M38" s="113">
        <f>AU34</f>
        <v>3</v>
      </c>
      <c r="P38" s="14"/>
      <c r="Q38" s="15"/>
      <c r="R38" s="15"/>
      <c r="T38" s="93" t="s">
        <v>27</v>
      </c>
      <c r="U38" s="94"/>
      <c r="V38" s="111">
        <f>SUM(V36:V37)</f>
        <v>77257.950000000012</v>
      </c>
      <c r="W38" s="112"/>
      <c r="X38" s="71"/>
      <c r="Y38" s="71"/>
      <c r="Z38" s="71"/>
      <c r="AA38" s="71"/>
      <c r="AB38" s="71"/>
      <c r="AD38" s="10" t="s">
        <v>61</v>
      </c>
      <c r="AE38" s="71"/>
      <c r="AG38" s="2"/>
    </row>
    <row r="39" spans="1:49" ht="18.75" customHeight="1" x14ac:dyDescent="0.25">
      <c r="A39" s="70"/>
      <c r="C39" s="75" t="s">
        <v>62</v>
      </c>
      <c r="D39" s="9"/>
      <c r="E39" s="9"/>
      <c r="F39" s="18"/>
      <c r="G39" s="76"/>
      <c r="H39" s="77" t="s">
        <v>55</v>
      </c>
      <c r="I39" s="113">
        <f>AQ34</f>
        <v>0</v>
      </c>
      <c r="K39" s="6"/>
      <c r="L39" s="17" t="s">
        <v>34</v>
      </c>
      <c r="M39" s="113">
        <f>AW34</f>
        <v>0</v>
      </c>
      <c r="O39" s="71"/>
      <c r="P39" s="14"/>
      <c r="Q39" s="15"/>
      <c r="R39" s="15"/>
      <c r="S39" s="15"/>
      <c r="U39" s="15"/>
      <c r="V39" s="15"/>
      <c r="W39" s="74"/>
      <c r="X39" s="15"/>
      <c r="Y39" s="71"/>
      <c r="Z39" s="71"/>
      <c r="AA39" s="71"/>
      <c r="AB39" s="71"/>
      <c r="AD39" s="10" t="s">
        <v>62</v>
      </c>
      <c r="AE39" s="9"/>
      <c r="AF39" s="9"/>
      <c r="AG39" s="18"/>
      <c r="AH39" s="9"/>
      <c r="AM39" s="8"/>
    </row>
    <row r="40" spans="1:49" ht="15" customHeight="1" x14ac:dyDescent="0.25">
      <c r="H40" s="7"/>
      <c r="I40" s="7"/>
      <c r="J40" s="7"/>
      <c r="L40" s="13" t="s">
        <v>27</v>
      </c>
      <c r="M40" s="113">
        <f>SUM(M37:M39)</f>
        <v>9</v>
      </c>
      <c r="O40" s="71"/>
      <c r="P40" s="7"/>
      <c r="Q40" s="71"/>
      <c r="R40" s="71"/>
      <c r="U40" s="71"/>
      <c r="V40" s="71"/>
      <c r="W40" s="74"/>
      <c r="X40" s="71"/>
      <c r="Y40" s="71"/>
      <c r="Z40" s="71"/>
      <c r="AA40" s="71"/>
      <c r="AB40" s="71"/>
      <c r="AC40" s="71"/>
      <c r="AD40" s="71"/>
      <c r="AF40" s="2"/>
    </row>
    <row r="41" spans="1:49" ht="15.75" customHeight="1" x14ac:dyDescent="0.25"/>
    <row r="42" spans="1:49" ht="15.75" customHeight="1" x14ac:dyDescent="0.25"/>
    <row r="43" spans="1:49" ht="15.75" customHeight="1" x14ac:dyDescent="0.25"/>
    <row r="44" spans="1:49" ht="15.75" customHeight="1" x14ac:dyDescent="0.25"/>
    <row r="45" spans="1:49" ht="15.75" customHeight="1" x14ac:dyDescent="0.25"/>
    <row r="46" spans="1:49" ht="15.75" customHeight="1" x14ac:dyDescent="0.25">
      <c r="V46" s="68"/>
    </row>
    <row r="47" spans="1:49" ht="15.75" customHeight="1" x14ac:dyDescent="0.25"/>
    <row r="48" spans="1:4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</sheetData>
  <mergeCells count="12">
    <mergeCell ref="T38:U38"/>
    <mergeCell ref="A1:AH1"/>
    <mergeCell ref="K36:M36"/>
    <mergeCell ref="AM1:AW1"/>
    <mergeCell ref="Z2:AC2"/>
    <mergeCell ref="P36:Q36"/>
    <mergeCell ref="P37:Q37"/>
    <mergeCell ref="T36:U36"/>
    <mergeCell ref="T37:U37"/>
    <mergeCell ref="V36:W36"/>
    <mergeCell ref="V37:W37"/>
    <mergeCell ref="V38:W38"/>
  </mergeCells>
  <pageMargins left="0.98425196850393704" right="0" top="0.23622047244094491" bottom="0" header="0" footer="0"/>
  <pageSetup paperSize="9" scale="50" orientation="landscape" r:id="rId1"/>
  <ignoredErrors>
    <ignoredError sqref="AT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9"/>
  <sheetViews>
    <sheetView view="pageBreakPreview" topLeftCell="A2" zoomScale="89" zoomScaleSheetLayoutView="89" workbookViewId="0">
      <selection activeCell="X59" sqref="X3:X59"/>
    </sheetView>
  </sheetViews>
  <sheetFormatPr defaultRowHeight="18.75" x14ac:dyDescent="0.3"/>
  <cols>
    <col min="1" max="1" width="5" style="52" customWidth="1"/>
    <col min="2" max="2" width="22" style="53" customWidth="1"/>
    <col min="3" max="12" width="8.28515625" style="2" customWidth="1"/>
    <col min="13" max="33" width="8.28515625" style="48" customWidth="1"/>
    <col min="34" max="34" width="10.7109375" style="50" customWidth="1"/>
    <col min="35" max="35" width="9.140625" style="2"/>
    <col min="36" max="16384" width="9.140625" style="48"/>
  </cols>
  <sheetData>
    <row r="1" spans="1:35" ht="54.75" customHeight="1" x14ac:dyDescent="0.3">
      <c r="A1" s="105" t="s">
        <v>106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</row>
    <row r="2" spans="1:35" ht="20.25" customHeight="1" x14ac:dyDescent="0.25">
      <c r="A2" s="82" t="s">
        <v>76</v>
      </c>
      <c r="B2" s="83" t="s">
        <v>75</v>
      </c>
      <c r="C2" s="84">
        <v>1</v>
      </c>
      <c r="D2" s="84">
        <v>2</v>
      </c>
      <c r="E2" s="84">
        <v>3</v>
      </c>
      <c r="F2" s="84">
        <v>4</v>
      </c>
      <c r="G2" s="84">
        <v>5</v>
      </c>
      <c r="H2" s="84">
        <v>6</v>
      </c>
      <c r="I2" s="84">
        <v>7</v>
      </c>
      <c r="J2" s="84">
        <v>8</v>
      </c>
      <c r="K2" s="84">
        <v>9</v>
      </c>
      <c r="L2" s="84">
        <v>10</v>
      </c>
      <c r="M2" s="84">
        <v>11</v>
      </c>
      <c r="N2" s="84">
        <v>12</v>
      </c>
      <c r="O2" s="84">
        <v>13</v>
      </c>
      <c r="P2" s="84">
        <v>14</v>
      </c>
      <c r="Q2" s="84">
        <v>15</v>
      </c>
      <c r="R2" s="84">
        <v>16</v>
      </c>
      <c r="S2" s="84">
        <v>17</v>
      </c>
      <c r="T2" s="84">
        <v>18</v>
      </c>
      <c r="U2" s="84">
        <v>19</v>
      </c>
      <c r="V2" s="84">
        <v>20</v>
      </c>
      <c r="W2" s="84">
        <v>21</v>
      </c>
      <c r="X2" s="84">
        <v>22</v>
      </c>
      <c r="Y2" s="84">
        <v>23</v>
      </c>
      <c r="Z2" s="84">
        <v>24</v>
      </c>
      <c r="AA2" s="84">
        <v>25</v>
      </c>
      <c r="AB2" s="84">
        <v>26</v>
      </c>
      <c r="AC2" s="84">
        <v>27</v>
      </c>
      <c r="AD2" s="84">
        <v>28</v>
      </c>
      <c r="AE2" s="84">
        <v>29</v>
      </c>
      <c r="AF2" s="84">
        <v>30</v>
      </c>
      <c r="AG2" s="84">
        <v>31</v>
      </c>
      <c r="AH2" s="84" t="s">
        <v>93</v>
      </c>
      <c r="AI2" s="1"/>
    </row>
    <row r="3" spans="1:35" ht="20.100000000000001" customHeight="1" x14ac:dyDescent="0.25">
      <c r="A3" s="85">
        <v>1</v>
      </c>
      <c r="B3" s="81" t="s">
        <v>43</v>
      </c>
      <c r="C3" s="86">
        <v>350</v>
      </c>
      <c r="D3" s="86">
        <v>350</v>
      </c>
      <c r="E3" s="91"/>
      <c r="F3" s="91"/>
      <c r="G3" s="86"/>
      <c r="H3" s="86">
        <v>350</v>
      </c>
      <c r="I3" s="86"/>
      <c r="J3" s="86">
        <v>700</v>
      </c>
      <c r="K3" s="86"/>
      <c r="L3" s="86">
        <v>350</v>
      </c>
      <c r="M3" s="86"/>
      <c r="N3" s="86">
        <v>350</v>
      </c>
      <c r="O3" s="86">
        <v>350</v>
      </c>
      <c r="P3" s="86"/>
      <c r="Q3" s="86">
        <v>350</v>
      </c>
      <c r="R3" s="86"/>
      <c r="S3" s="86">
        <v>350</v>
      </c>
      <c r="T3" s="86">
        <v>350</v>
      </c>
      <c r="U3" s="86">
        <v>350</v>
      </c>
      <c r="V3" s="86">
        <v>350</v>
      </c>
      <c r="W3" s="86"/>
      <c r="X3" s="86">
        <v>350</v>
      </c>
      <c r="Y3" s="86"/>
      <c r="Z3" s="86"/>
      <c r="AA3" s="86"/>
      <c r="AB3" s="86"/>
      <c r="AC3" s="86"/>
      <c r="AD3" s="86"/>
      <c r="AE3" s="86"/>
      <c r="AF3" s="86"/>
      <c r="AG3" s="86"/>
      <c r="AH3" s="84">
        <f>SUM(C3:AG3)</f>
        <v>4900</v>
      </c>
    </row>
    <row r="4" spans="1:35" ht="20.100000000000001" customHeight="1" x14ac:dyDescent="0.25">
      <c r="A4" s="85">
        <v>2</v>
      </c>
      <c r="B4" s="81" t="s">
        <v>3</v>
      </c>
      <c r="C4" s="86">
        <v>100</v>
      </c>
      <c r="D4" s="86">
        <v>100</v>
      </c>
      <c r="E4" s="86">
        <v>100</v>
      </c>
      <c r="F4" s="86">
        <v>200</v>
      </c>
      <c r="G4" s="86"/>
      <c r="H4" s="86">
        <v>200</v>
      </c>
      <c r="I4" s="86"/>
      <c r="J4" s="86">
        <v>100</v>
      </c>
      <c r="K4" s="86">
        <v>100</v>
      </c>
      <c r="L4" s="86">
        <v>100</v>
      </c>
      <c r="M4" s="86">
        <v>200</v>
      </c>
      <c r="N4" s="86"/>
      <c r="O4" s="86">
        <v>200</v>
      </c>
      <c r="P4" s="86"/>
      <c r="Q4" s="86"/>
      <c r="R4" s="86">
        <v>100</v>
      </c>
      <c r="S4" s="86"/>
      <c r="T4" s="86"/>
      <c r="U4" s="86"/>
      <c r="V4" s="91"/>
      <c r="W4" s="86"/>
      <c r="X4" s="86">
        <v>75</v>
      </c>
      <c r="Y4" s="86"/>
      <c r="Z4" s="86"/>
      <c r="AA4" s="86"/>
      <c r="AB4" s="86"/>
      <c r="AC4" s="86"/>
      <c r="AD4" s="86"/>
      <c r="AE4" s="86"/>
      <c r="AF4" s="86"/>
      <c r="AG4" s="86"/>
      <c r="AH4" s="84">
        <f t="shared" ref="AH4:AH59" si="0">SUM(C4:AG4)</f>
        <v>1575</v>
      </c>
    </row>
    <row r="5" spans="1:35" ht="20.100000000000001" customHeight="1" x14ac:dyDescent="0.25">
      <c r="A5" s="85">
        <v>3</v>
      </c>
      <c r="B5" s="81" t="s">
        <v>11</v>
      </c>
      <c r="C5" s="86">
        <v>300</v>
      </c>
      <c r="D5" s="86">
        <v>300</v>
      </c>
      <c r="E5" s="86">
        <v>300</v>
      </c>
      <c r="F5" s="86">
        <v>250</v>
      </c>
      <c r="G5" s="86"/>
      <c r="H5" s="91"/>
      <c r="I5" s="86"/>
      <c r="J5" s="91"/>
      <c r="K5" s="86">
        <v>300</v>
      </c>
      <c r="L5" s="86">
        <v>250</v>
      </c>
      <c r="M5" s="86">
        <v>400</v>
      </c>
      <c r="N5" s="86"/>
      <c r="O5" s="86">
        <v>350</v>
      </c>
      <c r="P5" s="86"/>
      <c r="Q5" s="86">
        <v>250</v>
      </c>
      <c r="R5" s="86">
        <v>250</v>
      </c>
      <c r="S5" s="86">
        <v>250</v>
      </c>
      <c r="T5" s="86">
        <v>350</v>
      </c>
      <c r="U5" s="86"/>
      <c r="V5" s="86">
        <v>175</v>
      </c>
      <c r="W5" s="86"/>
      <c r="X5" s="86">
        <v>275</v>
      </c>
      <c r="Y5" s="86"/>
      <c r="Z5" s="86"/>
      <c r="AA5" s="86"/>
      <c r="AB5" s="86"/>
      <c r="AC5" s="86"/>
      <c r="AD5" s="86"/>
      <c r="AE5" s="86"/>
      <c r="AF5" s="86"/>
      <c r="AG5" s="86"/>
      <c r="AH5" s="84">
        <f t="shared" si="0"/>
        <v>4000</v>
      </c>
    </row>
    <row r="6" spans="1:35" ht="20.100000000000001" customHeight="1" x14ac:dyDescent="0.25">
      <c r="A6" s="85">
        <v>4</v>
      </c>
      <c r="B6" s="81" t="s">
        <v>12</v>
      </c>
      <c r="C6" s="86">
        <v>300</v>
      </c>
      <c r="D6" s="86">
        <v>300</v>
      </c>
      <c r="E6" s="86">
        <v>300</v>
      </c>
      <c r="F6" s="86">
        <v>250</v>
      </c>
      <c r="G6" s="86"/>
      <c r="H6" s="86">
        <v>300</v>
      </c>
      <c r="I6" s="86"/>
      <c r="J6" s="86">
        <v>300</v>
      </c>
      <c r="K6" s="86">
        <v>300</v>
      </c>
      <c r="L6" s="86">
        <v>250</v>
      </c>
      <c r="M6" s="86">
        <v>400</v>
      </c>
      <c r="N6" s="86"/>
      <c r="O6" s="86">
        <v>350</v>
      </c>
      <c r="P6" s="86"/>
      <c r="Q6" s="86">
        <v>250</v>
      </c>
      <c r="R6" s="86">
        <v>250</v>
      </c>
      <c r="S6" s="86">
        <v>250</v>
      </c>
      <c r="T6" s="86">
        <v>250</v>
      </c>
      <c r="U6" s="86"/>
      <c r="V6" s="86"/>
      <c r="W6" s="86"/>
      <c r="X6" s="86">
        <v>275</v>
      </c>
      <c r="Y6" s="86"/>
      <c r="Z6" s="86"/>
      <c r="AA6" s="86"/>
      <c r="AB6" s="86"/>
      <c r="AC6" s="86"/>
      <c r="AD6" s="86"/>
      <c r="AE6" s="86"/>
      <c r="AF6" s="86"/>
      <c r="AG6" s="86"/>
      <c r="AH6" s="84">
        <f t="shared" si="0"/>
        <v>4325</v>
      </c>
    </row>
    <row r="7" spans="1:35" ht="20.100000000000001" customHeight="1" x14ac:dyDescent="0.25">
      <c r="A7" s="85">
        <v>5</v>
      </c>
      <c r="B7" s="81" t="s">
        <v>13</v>
      </c>
      <c r="C7" s="86">
        <v>50</v>
      </c>
      <c r="D7" s="86">
        <v>50</v>
      </c>
      <c r="E7" s="86">
        <v>50</v>
      </c>
      <c r="F7" s="86">
        <v>100</v>
      </c>
      <c r="G7" s="86"/>
      <c r="H7" s="86">
        <v>100</v>
      </c>
      <c r="I7" s="86"/>
      <c r="J7" s="86">
        <v>50</v>
      </c>
      <c r="K7" s="86">
        <v>50</v>
      </c>
      <c r="L7" s="86">
        <v>50</v>
      </c>
      <c r="M7" s="86"/>
      <c r="N7" s="86"/>
      <c r="O7" s="86">
        <v>50</v>
      </c>
      <c r="P7" s="86"/>
      <c r="Q7" s="86">
        <v>50</v>
      </c>
      <c r="R7" s="86">
        <v>50</v>
      </c>
      <c r="S7" s="86">
        <v>50</v>
      </c>
      <c r="T7" s="86">
        <v>50</v>
      </c>
      <c r="U7" s="86"/>
      <c r="V7" s="86">
        <v>100</v>
      </c>
      <c r="W7" s="86"/>
      <c r="X7" s="86">
        <v>50</v>
      </c>
      <c r="Y7" s="86"/>
      <c r="Z7" s="86"/>
      <c r="AA7" s="86"/>
      <c r="AB7" s="86"/>
      <c r="AC7" s="86"/>
      <c r="AD7" s="86"/>
      <c r="AE7" s="86"/>
      <c r="AF7" s="86"/>
      <c r="AG7" s="86"/>
      <c r="AH7" s="84">
        <f t="shared" si="0"/>
        <v>900</v>
      </c>
    </row>
    <row r="8" spans="1:35" ht="20.100000000000001" customHeight="1" x14ac:dyDescent="0.25">
      <c r="A8" s="85">
        <v>6</v>
      </c>
      <c r="B8" s="81" t="s">
        <v>14</v>
      </c>
      <c r="C8" s="86"/>
      <c r="D8" s="86"/>
      <c r="E8" s="86"/>
      <c r="F8" s="86"/>
      <c r="G8" s="86"/>
      <c r="H8" s="86"/>
      <c r="I8" s="86"/>
      <c r="J8" s="86">
        <v>100</v>
      </c>
      <c r="K8" s="86"/>
      <c r="L8" s="86">
        <v>50</v>
      </c>
      <c r="M8" s="86"/>
      <c r="N8" s="86"/>
      <c r="O8" s="86">
        <v>50</v>
      </c>
      <c r="P8" s="86"/>
      <c r="Q8" s="86"/>
      <c r="R8" s="86">
        <v>50</v>
      </c>
      <c r="S8" s="86"/>
      <c r="T8" s="91"/>
      <c r="U8" s="86"/>
      <c r="V8" s="86">
        <v>0</v>
      </c>
      <c r="W8" s="86"/>
      <c r="X8" s="86">
        <v>50</v>
      </c>
      <c r="Y8" s="86"/>
      <c r="Z8" s="86"/>
      <c r="AA8" s="86"/>
      <c r="AB8" s="86"/>
      <c r="AC8" s="86"/>
      <c r="AD8" s="86"/>
      <c r="AE8" s="86"/>
      <c r="AF8" s="86"/>
      <c r="AG8" s="86"/>
      <c r="AH8" s="84">
        <f t="shared" si="0"/>
        <v>300</v>
      </c>
    </row>
    <row r="9" spans="1:35" ht="20.100000000000001" customHeight="1" x14ac:dyDescent="0.25">
      <c r="A9" s="85">
        <v>7</v>
      </c>
      <c r="B9" s="81" t="s">
        <v>38</v>
      </c>
      <c r="C9" s="86"/>
      <c r="D9" s="86"/>
      <c r="E9" s="86"/>
      <c r="F9" s="86"/>
      <c r="G9" s="86"/>
      <c r="H9" s="86">
        <v>100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4">
        <f t="shared" si="0"/>
        <v>100</v>
      </c>
    </row>
    <row r="10" spans="1:35" ht="20.100000000000001" customHeight="1" x14ac:dyDescent="0.25">
      <c r="A10" s="85">
        <v>8</v>
      </c>
      <c r="B10" s="81" t="s">
        <v>17</v>
      </c>
      <c r="C10" s="86"/>
      <c r="D10" s="86">
        <v>30</v>
      </c>
      <c r="E10" s="86"/>
      <c r="F10" s="86"/>
      <c r="G10" s="86"/>
      <c r="H10" s="86">
        <v>30</v>
      </c>
      <c r="I10" s="86"/>
      <c r="J10" s="86"/>
      <c r="K10" s="86">
        <v>30</v>
      </c>
      <c r="L10" s="86"/>
      <c r="M10" s="86">
        <v>30</v>
      </c>
      <c r="N10" s="86"/>
      <c r="O10" s="86"/>
      <c r="P10" s="86"/>
      <c r="Q10" s="86"/>
      <c r="R10" s="86"/>
      <c r="S10" s="86"/>
      <c r="T10" s="86"/>
      <c r="U10" s="86">
        <v>30</v>
      </c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4">
        <f t="shared" si="0"/>
        <v>150</v>
      </c>
    </row>
    <row r="11" spans="1:35" ht="20.100000000000001" customHeight="1" x14ac:dyDescent="0.25">
      <c r="A11" s="85">
        <v>9</v>
      </c>
      <c r="B11" s="81" t="s">
        <v>18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4">
        <f t="shared" si="0"/>
        <v>0</v>
      </c>
    </row>
    <row r="12" spans="1:35" ht="20.100000000000001" customHeight="1" x14ac:dyDescent="0.25">
      <c r="A12" s="85">
        <v>10</v>
      </c>
      <c r="B12" s="81" t="s">
        <v>8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4">
        <f t="shared" si="0"/>
        <v>0</v>
      </c>
    </row>
    <row r="13" spans="1:35" ht="20.100000000000001" customHeight="1" x14ac:dyDescent="0.25">
      <c r="A13" s="85">
        <v>11</v>
      </c>
      <c r="B13" s="81" t="s">
        <v>46</v>
      </c>
      <c r="C13" s="92"/>
      <c r="D13" s="92"/>
      <c r="E13" s="92"/>
      <c r="F13" s="92"/>
      <c r="G13" s="86"/>
      <c r="H13" s="92"/>
      <c r="I13" s="86"/>
      <c r="J13" s="92"/>
      <c r="K13" s="86">
        <v>1</v>
      </c>
      <c r="L13" s="86"/>
      <c r="M13" s="86">
        <v>1</v>
      </c>
      <c r="N13" s="86"/>
      <c r="O13" s="86">
        <v>1</v>
      </c>
      <c r="P13" s="86"/>
      <c r="Q13" s="86"/>
      <c r="R13" s="86"/>
      <c r="S13" s="86"/>
      <c r="T13" s="91"/>
      <c r="U13" s="86"/>
      <c r="V13" s="91"/>
      <c r="W13" s="86"/>
      <c r="X13" s="86">
        <v>1</v>
      </c>
      <c r="Y13" s="86"/>
      <c r="Z13" s="86"/>
      <c r="AA13" s="86"/>
      <c r="AB13" s="86"/>
      <c r="AC13" s="86"/>
      <c r="AD13" s="86"/>
      <c r="AE13" s="86"/>
      <c r="AF13" s="86"/>
      <c r="AG13" s="86"/>
      <c r="AH13" s="84">
        <f t="shared" si="0"/>
        <v>4</v>
      </c>
    </row>
    <row r="14" spans="1:35" ht="20.100000000000001" customHeight="1" x14ac:dyDescent="0.25">
      <c r="A14" s="85">
        <v>12</v>
      </c>
      <c r="B14" s="81" t="s">
        <v>9</v>
      </c>
      <c r="C14" s="86">
        <v>1</v>
      </c>
      <c r="D14" s="86"/>
      <c r="E14" s="86"/>
      <c r="F14" s="86"/>
      <c r="G14" s="86"/>
      <c r="H14" s="86"/>
      <c r="I14" s="86"/>
      <c r="J14" s="86"/>
      <c r="K14" s="86">
        <v>1</v>
      </c>
      <c r="L14" s="86"/>
      <c r="M14" s="86">
        <v>1</v>
      </c>
      <c r="N14" s="86"/>
      <c r="O14" s="86">
        <v>1</v>
      </c>
      <c r="P14" s="86"/>
      <c r="Q14" s="86"/>
      <c r="R14" s="86"/>
      <c r="S14" s="86"/>
      <c r="T14" s="86"/>
      <c r="U14" s="86"/>
      <c r="V14" s="91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4">
        <f t="shared" si="0"/>
        <v>4</v>
      </c>
    </row>
    <row r="15" spans="1:35" ht="20.100000000000001" customHeight="1" x14ac:dyDescent="0.25">
      <c r="A15" s="85">
        <v>13</v>
      </c>
      <c r="B15" s="81" t="s">
        <v>39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4">
        <f t="shared" si="0"/>
        <v>0</v>
      </c>
    </row>
    <row r="16" spans="1:35" ht="20.100000000000001" customHeight="1" x14ac:dyDescent="0.25">
      <c r="A16" s="85">
        <v>14</v>
      </c>
      <c r="B16" s="81" t="s">
        <v>137</v>
      </c>
      <c r="C16" s="86">
        <v>1</v>
      </c>
      <c r="D16" s="86"/>
      <c r="E16" s="86"/>
      <c r="F16" s="86">
        <v>1</v>
      </c>
      <c r="G16" s="86"/>
      <c r="H16" s="86"/>
      <c r="I16" s="86"/>
      <c r="J16" s="86"/>
      <c r="K16" s="91"/>
      <c r="L16" s="91"/>
      <c r="M16" s="91"/>
      <c r="N16" s="91"/>
      <c r="O16" s="91"/>
      <c r="P16" s="86"/>
      <c r="Q16" s="91"/>
      <c r="R16" s="91"/>
      <c r="S16" s="91"/>
      <c r="T16" s="91"/>
      <c r="U16" s="86"/>
      <c r="V16" s="91"/>
      <c r="W16" s="86"/>
      <c r="X16" s="86">
        <v>1</v>
      </c>
      <c r="Y16" s="86"/>
      <c r="Z16" s="86"/>
      <c r="AA16" s="86"/>
      <c r="AB16" s="86"/>
      <c r="AC16" s="86"/>
      <c r="AD16" s="86"/>
      <c r="AE16" s="86"/>
      <c r="AF16" s="86"/>
      <c r="AG16" s="86"/>
      <c r="AH16" s="84">
        <f t="shared" si="0"/>
        <v>3</v>
      </c>
    </row>
    <row r="17" spans="1:35" ht="20.100000000000001" customHeight="1" x14ac:dyDescent="0.25">
      <c r="A17" s="85">
        <v>15</v>
      </c>
      <c r="B17" s="81" t="s">
        <v>138</v>
      </c>
      <c r="C17" s="86">
        <v>1</v>
      </c>
      <c r="D17" s="86"/>
      <c r="E17" s="86"/>
      <c r="F17" s="91"/>
      <c r="G17" s="86"/>
      <c r="H17" s="86"/>
      <c r="I17" s="86"/>
      <c r="J17" s="86"/>
      <c r="K17" s="91"/>
      <c r="L17" s="91"/>
      <c r="M17" s="91"/>
      <c r="N17" s="91"/>
      <c r="O17" s="91"/>
      <c r="P17" s="86"/>
      <c r="Q17" s="91"/>
      <c r="R17" s="91"/>
      <c r="S17" s="91"/>
      <c r="T17" s="91"/>
      <c r="U17" s="86"/>
      <c r="V17" s="91"/>
      <c r="W17" s="86"/>
      <c r="X17" s="86">
        <v>1</v>
      </c>
      <c r="Y17" s="86"/>
      <c r="Z17" s="86"/>
      <c r="AA17" s="86"/>
      <c r="AB17" s="86"/>
      <c r="AC17" s="86"/>
      <c r="AD17" s="86"/>
      <c r="AE17" s="86"/>
      <c r="AF17" s="86"/>
      <c r="AG17" s="86"/>
      <c r="AH17" s="84">
        <f t="shared" si="0"/>
        <v>2</v>
      </c>
    </row>
    <row r="18" spans="1:35" s="72" customFormat="1" ht="20.100000000000001" customHeight="1" x14ac:dyDescent="0.25">
      <c r="A18" s="85">
        <v>16</v>
      </c>
      <c r="B18" s="81" t="s">
        <v>67</v>
      </c>
      <c r="C18" s="86"/>
      <c r="D18" s="86">
        <v>1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4">
        <f t="shared" si="0"/>
        <v>1</v>
      </c>
      <c r="AI18" s="2"/>
    </row>
    <row r="19" spans="1:35" s="72" customFormat="1" ht="20.100000000000001" customHeight="1" x14ac:dyDescent="0.25">
      <c r="A19" s="85">
        <v>17</v>
      </c>
      <c r="B19" s="81" t="s">
        <v>68</v>
      </c>
      <c r="C19" s="86"/>
      <c r="D19" s="86">
        <v>1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4">
        <f t="shared" si="0"/>
        <v>1</v>
      </c>
      <c r="AI19" s="2"/>
    </row>
    <row r="20" spans="1:35" s="72" customFormat="1" ht="20.100000000000001" customHeight="1" x14ac:dyDescent="0.25">
      <c r="A20" s="85">
        <v>18</v>
      </c>
      <c r="B20" s="81" t="s">
        <v>69</v>
      </c>
      <c r="C20" s="86"/>
      <c r="D20" s="86">
        <v>1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4">
        <f t="shared" si="0"/>
        <v>1</v>
      </c>
      <c r="AI20" s="2"/>
    </row>
    <row r="21" spans="1:35" ht="20.100000000000001" customHeight="1" x14ac:dyDescent="0.25">
      <c r="A21" s="85">
        <v>19</v>
      </c>
      <c r="B21" s="81" t="s">
        <v>81</v>
      </c>
      <c r="C21" s="86"/>
      <c r="D21" s="86"/>
      <c r="E21" s="86"/>
      <c r="F21" s="86">
        <v>1</v>
      </c>
      <c r="G21" s="86"/>
      <c r="H21" s="86"/>
      <c r="I21" s="86"/>
      <c r="J21" s="86"/>
      <c r="K21" s="91"/>
      <c r="L21" s="91"/>
      <c r="M21" s="91"/>
      <c r="N21" s="91"/>
      <c r="O21" s="91"/>
      <c r="P21" s="86"/>
      <c r="Q21" s="91"/>
      <c r="R21" s="91"/>
      <c r="S21" s="91"/>
      <c r="T21" s="91"/>
      <c r="U21" s="86"/>
      <c r="V21" s="91"/>
      <c r="W21" s="86"/>
      <c r="X21" s="86">
        <v>1</v>
      </c>
      <c r="Y21" s="86"/>
      <c r="Z21" s="86"/>
      <c r="AA21" s="86"/>
      <c r="AB21" s="86"/>
      <c r="AC21" s="86"/>
      <c r="AD21" s="86"/>
      <c r="AE21" s="86"/>
      <c r="AF21" s="86"/>
      <c r="AG21" s="86"/>
      <c r="AH21" s="84">
        <f t="shared" si="0"/>
        <v>2</v>
      </c>
    </row>
    <row r="22" spans="1:35" ht="20.100000000000001" customHeight="1" x14ac:dyDescent="0.25">
      <c r="A22" s="85">
        <v>20</v>
      </c>
      <c r="B22" s="81" t="s">
        <v>82</v>
      </c>
      <c r="C22" s="86">
        <v>1</v>
      </c>
      <c r="D22" s="86"/>
      <c r="E22" s="86"/>
      <c r="F22" s="86">
        <v>1</v>
      </c>
      <c r="G22" s="86"/>
      <c r="H22" s="86"/>
      <c r="I22" s="86"/>
      <c r="J22" s="86"/>
      <c r="K22" s="91"/>
      <c r="L22" s="91"/>
      <c r="M22" s="91"/>
      <c r="N22" s="91"/>
      <c r="O22" s="91"/>
      <c r="P22" s="86"/>
      <c r="Q22" s="91"/>
      <c r="R22" s="91"/>
      <c r="S22" s="91"/>
      <c r="T22" s="91"/>
      <c r="U22" s="86"/>
      <c r="V22" s="91"/>
      <c r="W22" s="86"/>
      <c r="X22" s="86">
        <v>1</v>
      </c>
      <c r="Y22" s="86"/>
      <c r="Z22" s="86"/>
      <c r="AA22" s="86"/>
      <c r="AB22" s="86"/>
      <c r="AC22" s="86"/>
      <c r="AD22" s="86"/>
      <c r="AE22" s="86"/>
      <c r="AF22" s="86"/>
      <c r="AG22" s="86"/>
      <c r="AH22" s="84">
        <f t="shared" si="0"/>
        <v>3</v>
      </c>
    </row>
    <row r="23" spans="1:35" ht="20.100000000000001" customHeight="1" x14ac:dyDescent="0.25">
      <c r="A23" s="85">
        <v>21</v>
      </c>
      <c r="B23" s="81" t="s">
        <v>72</v>
      </c>
      <c r="C23" s="86"/>
      <c r="D23" s="86"/>
      <c r="E23" s="86"/>
      <c r="F23" s="86"/>
      <c r="G23" s="86"/>
      <c r="H23" s="86"/>
      <c r="I23" s="86"/>
      <c r="J23" s="86">
        <v>1</v>
      </c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>
        <v>1</v>
      </c>
      <c r="Y23" s="86"/>
      <c r="Z23" s="86"/>
      <c r="AA23" s="86"/>
      <c r="AB23" s="86"/>
      <c r="AC23" s="86"/>
      <c r="AD23" s="86"/>
      <c r="AE23" s="86"/>
      <c r="AF23" s="86"/>
      <c r="AG23" s="86"/>
      <c r="AH23" s="84">
        <f t="shared" si="0"/>
        <v>2</v>
      </c>
    </row>
    <row r="24" spans="1:35" ht="20.100000000000001" customHeight="1" x14ac:dyDescent="0.25">
      <c r="A24" s="85">
        <v>22</v>
      </c>
      <c r="B24" s="81" t="s">
        <v>47</v>
      </c>
      <c r="C24" s="86"/>
      <c r="D24" s="86"/>
      <c r="E24" s="86">
        <v>1</v>
      </c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>
        <v>1</v>
      </c>
      <c r="Y24" s="86"/>
      <c r="Z24" s="86"/>
      <c r="AA24" s="86"/>
      <c r="AB24" s="86"/>
      <c r="AC24" s="86"/>
      <c r="AD24" s="86"/>
      <c r="AE24" s="86"/>
      <c r="AF24" s="86"/>
      <c r="AG24" s="86"/>
      <c r="AH24" s="84">
        <f t="shared" si="0"/>
        <v>2</v>
      </c>
    </row>
    <row r="25" spans="1:35" ht="20.100000000000001" customHeight="1" x14ac:dyDescent="0.25">
      <c r="A25" s="85">
        <v>23</v>
      </c>
      <c r="B25" s="81" t="s">
        <v>4</v>
      </c>
      <c r="C25" s="86">
        <v>1</v>
      </c>
      <c r="D25" s="86"/>
      <c r="E25" s="86"/>
      <c r="F25" s="86"/>
      <c r="G25" s="86"/>
      <c r="H25" s="86"/>
      <c r="I25" s="86"/>
      <c r="J25" s="86">
        <v>1</v>
      </c>
      <c r="K25" s="86"/>
      <c r="L25" s="86"/>
      <c r="M25" s="86">
        <v>1</v>
      </c>
      <c r="N25" s="86"/>
      <c r="O25" s="86">
        <v>1</v>
      </c>
      <c r="P25" s="86"/>
      <c r="Q25" s="86"/>
      <c r="R25" s="86"/>
      <c r="S25" s="86"/>
      <c r="T25" s="86"/>
      <c r="U25" s="86"/>
      <c r="V25" s="86"/>
      <c r="W25" s="86"/>
      <c r="X25" s="86">
        <v>1</v>
      </c>
      <c r="Y25" s="86"/>
      <c r="Z25" s="86"/>
      <c r="AA25" s="86"/>
      <c r="AB25" s="86"/>
      <c r="AC25" s="86"/>
      <c r="AD25" s="86"/>
      <c r="AE25" s="86"/>
      <c r="AF25" s="86"/>
      <c r="AG25" s="86"/>
      <c r="AH25" s="84">
        <f t="shared" si="0"/>
        <v>5</v>
      </c>
    </row>
    <row r="26" spans="1:35" ht="20.100000000000001" customHeight="1" x14ac:dyDescent="0.25">
      <c r="A26" s="85">
        <v>24</v>
      </c>
      <c r="B26" s="81" t="s">
        <v>5</v>
      </c>
      <c r="C26" s="86">
        <v>1</v>
      </c>
      <c r="D26" s="86"/>
      <c r="E26" s="86"/>
      <c r="F26" s="86"/>
      <c r="G26" s="86"/>
      <c r="H26" s="86"/>
      <c r="I26" s="86"/>
      <c r="J26" s="86">
        <v>1</v>
      </c>
      <c r="K26" s="86"/>
      <c r="L26" s="86"/>
      <c r="M26" s="86">
        <v>1</v>
      </c>
      <c r="N26" s="86"/>
      <c r="O26" s="86">
        <v>1</v>
      </c>
      <c r="P26" s="86"/>
      <c r="Q26" s="86"/>
      <c r="R26" s="86"/>
      <c r="S26" s="86"/>
      <c r="T26" s="86"/>
      <c r="U26" s="86"/>
      <c r="V26" s="86"/>
      <c r="W26" s="86"/>
      <c r="X26" s="86">
        <v>1</v>
      </c>
      <c r="Y26" s="86"/>
      <c r="Z26" s="86"/>
      <c r="AA26" s="86"/>
      <c r="AB26" s="86"/>
      <c r="AC26" s="86"/>
      <c r="AD26" s="86"/>
      <c r="AE26" s="86"/>
      <c r="AF26" s="86"/>
      <c r="AG26" s="86"/>
      <c r="AH26" s="84">
        <f t="shared" si="0"/>
        <v>5</v>
      </c>
    </row>
    <row r="27" spans="1:35" ht="20.100000000000001" customHeight="1" x14ac:dyDescent="0.25">
      <c r="A27" s="85">
        <v>25</v>
      </c>
      <c r="B27" s="81" t="s">
        <v>6</v>
      </c>
      <c r="C27" s="86"/>
      <c r="D27" s="86"/>
      <c r="E27" s="86"/>
      <c r="F27" s="86"/>
      <c r="G27" s="86"/>
      <c r="H27" s="86">
        <v>100</v>
      </c>
      <c r="I27" s="86"/>
      <c r="J27" s="86"/>
      <c r="K27" s="86"/>
      <c r="L27" s="86"/>
      <c r="M27" s="86"/>
      <c r="N27" s="86"/>
      <c r="O27" s="86"/>
      <c r="P27" s="86"/>
      <c r="Q27" s="86">
        <v>1</v>
      </c>
      <c r="R27" s="86"/>
      <c r="S27" s="86"/>
      <c r="T27" s="86"/>
      <c r="U27" s="86"/>
      <c r="V27" s="86"/>
      <c r="W27" s="86"/>
      <c r="X27" s="86">
        <v>1</v>
      </c>
      <c r="Y27" s="86"/>
      <c r="Z27" s="86"/>
      <c r="AA27" s="86"/>
      <c r="AB27" s="86"/>
      <c r="AC27" s="86"/>
      <c r="AD27" s="86"/>
      <c r="AE27" s="86"/>
      <c r="AF27" s="86"/>
      <c r="AG27" s="86"/>
      <c r="AH27" s="84">
        <f t="shared" si="0"/>
        <v>102</v>
      </c>
    </row>
    <row r="28" spans="1:35" ht="20.100000000000001" customHeight="1" x14ac:dyDescent="0.25">
      <c r="A28" s="85">
        <v>26</v>
      </c>
      <c r="B28" s="81" t="s">
        <v>7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4">
        <f t="shared" si="0"/>
        <v>0</v>
      </c>
    </row>
    <row r="29" spans="1:35" ht="20.100000000000001" customHeight="1" x14ac:dyDescent="0.25">
      <c r="A29" s="85">
        <v>27</v>
      </c>
      <c r="B29" s="81" t="s">
        <v>2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4">
        <f t="shared" si="0"/>
        <v>0</v>
      </c>
    </row>
    <row r="30" spans="1:35" ht="20.100000000000001" customHeight="1" x14ac:dyDescent="0.25">
      <c r="A30" s="85">
        <v>28</v>
      </c>
      <c r="B30" s="81" t="s">
        <v>15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4">
        <f t="shared" si="0"/>
        <v>0</v>
      </c>
    </row>
    <row r="31" spans="1:35" ht="20.100000000000001" customHeight="1" x14ac:dyDescent="0.25">
      <c r="A31" s="85">
        <v>29</v>
      </c>
      <c r="B31" s="81" t="s">
        <v>16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4">
        <f t="shared" si="0"/>
        <v>0</v>
      </c>
    </row>
    <row r="32" spans="1:35" ht="20.100000000000001" customHeight="1" x14ac:dyDescent="0.25">
      <c r="A32" s="85">
        <v>30</v>
      </c>
      <c r="B32" s="81" t="s">
        <v>73</v>
      </c>
      <c r="C32" s="87">
        <v>500</v>
      </c>
      <c r="D32" s="86">
        <v>500</v>
      </c>
      <c r="E32" s="86"/>
      <c r="F32" s="86"/>
      <c r="G32" s="86"/>
      <c r="H32" s="86"/>
      <c r="I32" s="86"/>
      <c r="J32" s="86">
        <v>500</v>
      </c>
      <c r="K32" s="86">
        <v>500</v>
      </c>
      <c r="L32" s="86"/>
      <c r="M32" s="86">
        <v>500</v>
      </c>
      <c r="N32" s="86"/>
      <c r="O32" s="86">
        <v>500</v>
      </c>
      <c r="P32" s="86"/>
      <c r="Q32" s="86">
        <v>500</v>
      </c>
      <c r="R32" s="86">
        <v>500</v>
      </c>
      <c r="S32" s="86">
        <v>500</v>
      </c>
      <c r="T32" s="86">
        <v>500</v>
      </c>
      <c r="U32" s="86"/>
      <c r="V32" s="86">
        <v>500</v>
      </c>
      <c r="W32" s="86"/>
      <c r="X32" s="86">
        <v>500</v>
      </c>
      <c r="Y32" s="86"/>
      <c r="Z32" s="86"/>
      <c r="AA32" s="86"/>
      <c r="AB32" s="86"/>
      <c r="AC32" s="86"/>
      <c r="AD32" s="86"/>
      <c r="AE32" s="86"/>
      <c r="AF32" s="86"/>
      <c r="AG32" s="86"/>
      <c r="AH32" s="84">
        <f t="shared" si="0"/>
        <v>6000</v>
      </c>
    </row>
    <row r="33" spans="1:34" ht="20.100000000000001" customHeight="1" x14ac:dyDescent="0.25">
      <c r="A33" s="85">
        <v>31</v>
      </c>
      <c r="B33" s="81" t="s">
        <v>19</v>
      </c>
      <c r="C33" s="86">
        <v>1</v>
      </c>
      <c r="D33" s="86"/>
      <c r="E33" s="86"/>
      <c r="F33" s="86"/>
      <c r="G33" s="86"/>
      <c r="H33" s="86"/>
      <c r="I33" s="86"/>
      <c r="J33" s="86"/>
      <c r="K33" s="86"/>
      <c r="L33" s="86"/>
      <c r="M33" s="86">
        <v>1</v>
      </c>
      <c r="N33" s="86"/>
      <c r="O33" s="86"/>
      <c r="P33" s="86"/>
      <c r="Q33" s="86"/>
      <c r="R33" s="86"/>
      <c r="S33" s="86">
        <v>1</v>
      </c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4">
        <f t="shared" si="0"/>
        <v>3</v>
      </c>
    </row>
    <row r="34" spans="1:34" ht="20.100000000000001" customHeight="1" x14ac:dyDescent="0.25">
      <c r="A34" s="85">
        <v>32</v>
      </c>
      <c r="B34" s="81" t="s">
        <v>20</v>
      </c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4">
        <f t="shared" si="0"/>
        <v>0</v>
      </c>
    </row>
    <row r="35" spans="1:34" ht="20.100000000000001" customHeight="1" x14ac:dyDescent="0.25">
      <c r="A35" s="85">
        <v>33</v>
      </c>
      <c r="B35" s="81" t="s">
        <v>21</v>
      </c>
      <c r="C35" s="86">
        <v>1</v>
      </c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4">
        <f t="shared" si="0"/>
        <v>1</v>
      </c>
    </row>
    <row r="36" spans="1:34" ht="20.100000000000001" customHeight="1" x14ac:dyDescent="0.25">
      <c r="A36" s="85">
        <v>34</v>
      </c>
      <c r="B36" s="81" t="s">
        <v>22</v>
      </c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4">
        <f t="shared" si="0"/>
        <v>0</v>
      </c>
    </row>
    <row r="37" spans="1:34" ht="20.100000000000001" customHeight="1" x14ac:dyDescent="0.25">
      <c r="A37" s="85">
        <v>35</v>
      </c>
      <c r="B37" s="81" t="s">
        <v>170</v>
      </c>
      <c r="C37" s="86"/>
      <c r="D37" s="86"/>
      <c r="E37" s="86"/>
      <c r="F37" s="86"/>
      <c r="G37" s="86"/>
      <c r="H37" s="86"/>
      <c r="I37" s="86"/>
      <c r="J37" s="86">
        <v>1</v>
      </c>
      <c r="K37" s="86"/>
      <c r="L37" s="86"/>
      <c r="M37" s="86"/>
      <c r="N37" s="86"/>
      <c r="O37" s="86"/>
      <c r="P37" s="86"/>
      <c r="Q37" s="86">
        <v>1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4">
        <f t="shared" si="0"/>
        <v>2</v>
      </c>
    </row>
    <row r="38" spans="1:34" ht="20.100000000000001" customHeight="1" x14ac:dyDescent="0.25">
      <c r="A38" s="85">
        <v>36</v>
      </c>
      <c r="B38" s="81" t="s">
        <v>36</v>
      </c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>
        <v>1</v>
      </c>
      <c r="P38" s="86"/>
      <c r="Q38" s="86"/>
      <c r="R38" s="86"/>
      <c r="S38" s="86"/>
      <c r="T38" s="86"/>
      <c r="U38" s="86"/>
      <c r="V38" s="86"/>
      <c r="W38" s="86"/>
      <c r="X38" s="86">
        <v>1</v>
      </c>
      <c r="Y38" s="86"/>
      <c r="Z38" s="86"/>
      <c r="AA38" s="86"/>
      <c r="AB38" s="86"/>
      <c r="AC38" s="86"/>
      <c r="AD38" s="86"/>
      <c r="AE38" s="86"/>
      <c r="AF38" s="86"/>
      <c r="AG38" s="86"/>
      <c r="AH38" s="84">
        <f t="shared" si="0"/>
        <v>2</v>
      </c>
    </row>
    <row r="39" spans="1:34" ht="20.100000000000001" customHeight="1" x14ac:dyDescent="0.25">
      <c r="A39" s="85">
        <v>37</v>
      </c>
      <c r="B39" s="81" t="s">
        <v>35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4">
        <f t="shared" si="0"/>
        <v>0</v>
      </c>
    </row>
    <row r="40" spans="1:34" ht="20.100000000000001" customHeight="1" x14ac:dyDescent="0.25">
      <c r="A40" s="85">
        <v>38</v>
      </c>
      <c r="B40" s="81" t="s">
        <v>40</v>
      </c>
      <c r="C40" s="86"/>
      <c r="D40" s="86"/>
      <c r="E40" s="86"/>
      <c r="F40" s="86"/>
      <c r="G40" s="86"/>
      <c r="H40" s="86">
        <v>200</v>
      </c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>
        <v>200</v>
      </c>
      <c r="Y40" s="86"/>
      <c r="Z40" s="86"/>
      <c r="AA40" s="86"/>
      <c r="AB40" s="86"/>
      <c r="AC40" s="86"/>
      <c r="AD40" s="86"/>
      <c r="AE40" s="86"/>
      <c r="AF40" s="86"/>
      <c r="AG40" s="86"/>
      <c r="AH40" s="84">
        <f t="shared" si="0"/>
        <v>400</v>
      </c>
    </row>
    <row r="41" spans="1:34" ht="20.100000000000001" customHeight="1" x14ac:dyDescent="0.25">
      <c r="A41" s="85">
        <v>39</v>
      </c>
      <c r="B41" s="81" t="s">
        <v>24</v>
      </c>
      <c r="C41" s="86">
        <v>300</v>
      </c>
      <c r="D41" s="86">
        <v>300</v>
      </c>
      <c r="E41" s="86">
        <v>300</v>
      </c>
      <c r="F41" s="86">
        <v>600</v>
      </c>
      <c r="G41" s="86"/>
      <c r="H41" s="86">
        <v>400</v>
      </c>
      <c r="I41" s="86"/>
      <c r="J41" s="86">
        <v>400</v>
      </c>
      <c r="K41" s="86">
        <v>300</v>
      </c>
      <c r="L41" s="86">
        <v>300</v>
      </c>
      <c r="M41" s="86">
        <v>500</v>
      </c>
      <c r="N41" s="86"/>
      <c r="O41" s="86">
        <v>500</v>
      </c>
      <c r="P41" s="86"/>
      <c r="Q41" s="86">
        <v>400</v>
      </c>
      <c r="R41" s="86">
        <v>400</v>
      </c>
      <c r="S41" s="86">
        <v>400</v>
      </c>
      <c r="T41" s="86">
        <v>600</v>
      </c>
      <c r="U41" s="86"/>
      <c r="V41" s="86">
        <v>500</v>
      </c>
      <c r="W41" s="86"/>
      <c r="X41" s="86">
        <v>400</v>
      </c>
      <c r="Y41" s="86"/>
      <c r="Z41" s="86"/>
      <c r="AA41" s="86"/>
      <c r="AB41" s="86"/>
      <c r="AC41" s="86"/>
      <c r="AD41" s="86"/>
      <c r="AE41" s="86"/>
      <c r="AF41" s="86"/>
      <c r="AG41" s="86"/>
      <c r="AH41" s="84">
        <f t="shared" si="0"/>
        <v>6600</v>
      </c>
    </row>
    <row r="42" spans="1:34" ht="20.100000000000001" customHeight="1" x14ac:dyDescent="0.25">
      <c r="A42" s="85">
        <v>40</v>
      </c>
      <c r="B42" s="81" t="s">
        <v>25</v>
      </c>
      <c r="C42" s="86">
        <v>300</v>
      </c>
      <c r="D42" s="86">
        <v>300</v>
      </c>
      <c r="E42" s="86">
        <v>300</v>
      </c>
      <c r="F42" s="86">
        <v>600</v>
      </c>
      <c r="G42" s="86"/>
      <c r="H42" s="86">
        <v>400</v>
      </c>
      <c r="I42" s="86"/>
      <c r="J42" s="86">
        <v>400</v>
      </c>
      <c r="K42" s="86">
        <v>300</v>
      </c>
      <c r="L42" s="86">
        <v>300</v>
      </c>
      <c r="M42" s="86">
        <v>500</v>
      </c>
      <c r="N42" s="86"/>
      <c r="O42" s="86">
        <v>400</v>
      </c>
      <c r="P42" s="86"/>
      <c r="Q42" s="86">
        <v>300</v>
      </c>
      <c r="R42" s="86">
        <v>300</v>
      </c>
      <c r="S42" s="86">
        <v>300</v>
      </c>
      <c r="T42" s="86">
        <v>500</v>
      </c>
      <c r="U42" s="86"/>
      <c r="V42" s="86">
        <v>400</v>
      </c>
      <c r="W42" s="86"/>
      <c r="X42" s="86">
        <v>400</v>
      </c>
      <c r="Y42" s="86"/>
      <c r="Z42" s="86"/>
      <c r="AA42" s="86"/>
      <c r="AB42" s="86"/>
      <c r="AC42" s="86"/>
      <c r="AD42" s="86"/>
      <c r="AE42" s="86"/>
      <c r="AF42" s="86"/>
      <c r="AG42" s="86"/>
      <c r="AH42" s="84">
        <f t="shared" si="0"/>
        <v>6000</v>
      </c>
    </row>
    <row r="43" spans="1:34" ht="20.100000000000001" customHeight="1" x14ac:dyDescent="0.25">
      <c r="A43" s="85">
        <v>41</v>
      </c>
      <c r="B43" s="81" t="s">
        <v>26</v>
      </c>
      <c r="C43" s="86">
        <v>100</v>
      </c>
      <c r="D43" s="86"/>
      <c r="E43" s="86"/>
      <c r="F43" s="86">
        <v>100</v>
      </c>
      <c r="G43" s="86"/>
      <c r="H43" s="86">
        <v>100</v>
      </c>
      <c r="I43" s="86"/>
      <c r="J43" s="86">
        <v>100</v>
      </c>
      <c r="K43" s="86"/>
      <c r="L43" s="86"/>
      <c r="M43" s="86"/>
      <c r="N43" s="86"/>
      <c r="O43" s="86">
        <v>100</v>
      </c>
      <c r="P43" s="86"/>
      <c r="Q43" s="86">
        <v>100</v>
      </c>
      <c r="R43" s="86"/>
      <c r="S43" s="86">
        <v>100</v>
      </c>
      <c r="T43" s="86"/>
      <c r="U43" s="86"/>
      <c r="V43" s="86"/>
      <c r="W43" s="86"/>
      <c r="X43" s="86">
        <v>100</v>
      </c>
      <c r="Y43" s="86"/>
      <c r="Z43" s="86"/>
      <c r="AA43" s="86"/>
      <c r="AB43" s="86"/>
      <c r="AC43" s="86"/>
      <c r="AD43" s="86"/>
      <c r="AE43" s="86"/>
      <c r="AF43" s="86"/>
      <c r="AG43" s="86"/>
      <c r="AH43" s="84">
        <f t="shared" si="0"/>
        <v>800</v>
      </c>
    </row>
    <row r="44" spans="1:34" ht="20.100000000000001" customHeight="1" x14ac:dyDescent="0.25">
      <c r="A44" s="85">
        <v>42</v>
      </c>
      <c r="B44" s="81" t="s">
        <v>41</v>
      </c>
      <c r="C44" s="86"/>
      <c r="D44" s="86"/>
      <c r="E44" s="86"/>
      <c r="F44" s="86">
        <v>100</v>
      </c>
      <c r="G44" s="86"/>
      <c r="H44" s="86"/>
      <c r="I44" s="86"/>
      <c r="J44" s="86">
        <v>100</v>
      </c>
      <c r="K44" s="86"/>
      <c r="L44" s="86"/>
      <c r="M44" s="86">
        <v>100</v>
      </c>
      <c r="N44" s="86"/>
      <c r="O44" s="86"/>
      <c r="P44" s="86"/>
      <c r="Q44" s="86">
        <v>100</v>
      </c>
      <c r="R44" s="86"/>
      <c r="S44" s="86"/>
      <c r="T44" s="86"/>
      <c r="U44" s="86"/>
      <c r="V44" s="86"/>
      <c r="W44" s="86"/>
      <c r="X44" s="86">
        <v>100</v>
      </c>
      <c r="Y44" s="86"/>
      <c r="Z44" s="86"/>
      <c r="AA44" s="86"/>
      <c r="AB44" s="86"/>
      <c r="AC44" s="86"/>
      <c r="AD44" s="86"/>
      <c r="AE44" s="86"/>
      <c r="AF44" s="86"/>
      <c r="AG44" s="86"/>
      <c r="AH44" s="84">
        <f t="shared" si="0"/>
        <v>500</v>
      </c>
    </row>
    <row r="45" spans="1:34" ht="20.100000000000001" customHeight="1" x14ac:dyDescent="0.25">
      <c r="A45" s="85">
        <v>43</v>
      </c>
      <c r="B45" s="81" t="s">
        <v>48</v>
      </c>
      <c r="C45" s="86"/>
      <c r="D45" s="86"/>
      <c r="E45" s="86"/>
      <c r="F45" s="86">
        <v>100</v>
      </c>
      <c r="G45" s="86"/>
      <c r="H45" s="86"/>
      <c r="I45" s="86"/>
      <c r="J45" s="86"/>
      <c r="K45" s="86"/>
      <c r="L45" s="86">
        <v>100</v>
      </c>
      <c r="M45" s="86">
        <v>100</v>
      </c>
      <c r="N45" s="86"/>
      <c r="O45" s="86">
        <v>100</v>
      </c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4">
        <f t="shared" si="0"/>
        <v>400</v>
      </c>
    </row>
    <row r="46" spans="1:34" ht="20.100000000000001" customHeight="1" x14ac:dyDescent="0.25">
      <c r="A46" s="85">
        <v>44</v>
      </c>
      <c r="B46" s="81" t="s">
        <v>74</v>
      </c>
      <c r="C46" s="86"/>
      <c r="D46" s="86"/>
      <c r="E46" s="86"/>
      <c r="F46" s="86">
        <v>600</v>
      </c>
      <c r="G46" s="86"/>
      <c r="H46" s="86"/>
      <c r="I46" s="86"/>
      <c r="J46" s="86">
        <v>600</v>
      </c>
      <c r="K46" s="86"/>
      <c r="L46" s="86"/>
      <c r="M46" s="86">
        <v>600</v>
      </c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4">
        <f t="shared" si="0"/>
        <v>1800</v>
      </c>
    </row>
    <row r="47" spans="1:34" ht="20.100000000000001" customHeight="1" x14ac:dyDescent="0.25">
      <c r="A47" s="85">
        <v>45</v>
      </c>
      <c r="B47" s="81" t="s">
        <v>42</v>
      </c>
      <c r="C47" s="86"/>
      <c r="D47" s="86"/>
      <c r="E47" s="86"/>
      <c r="F47" s="86">
        <v>5</v>
      </c>
      <c r="G47" s="86"/>
      <c r="H47" s="86"/>
      <c r="I47" s="86"/>
      <c r="J47" s="86"/>
      <c r="K47" s="86"/>
      <c r="L47" s="86"/>
      <c r="M47" s="86">
        <v>5</v>
      </c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4">
        <f t="shared" si="0"/>
        <v>10</v>
      </c>
    </row>
    <row r="48" spans="1:34" ht="20.100000000000001" customHeight="1" x14ac:dyDescent="0.25">
      <c r="A48" s="85">
        <v>46</v>
      </c>
      <c r="B48" s="81" t="s">
        <v>77</v>
      </c>
      <c r="C48" s="86">
        <v>6</v>
      </c>
      <c r="D48" s="86">
        <v>6</v>
      </c>
      <c r="E48" s="86">
        <v>6</v>
      </c>
      <c r="F48" s="86">
        <v>10</v>
      </c>
      <c r="G48" s="86"/>
      <c r="H48" s="86">
        <v>10</v>
      </c>
      <c r="I48" s="86"/>
      <c r="J48" s="86">
        <v>6</v>
      </c>
      <c r="K48" s="86">
        <v>6</v>
      </c>
      <c r="L48" s="86">
        <v>6</v>
      </c>
      <c r="M48" s="86">
        <v>10</v>
      </c>
      <c r="N48" s="86"/>
      <c r="O48" s="86">
        <v>10</v>
      </c>
      <c r="P48" s="86"/>
      <c r="Q48" s="86">
        <v>6</v>
      </c>
      <c r="R48" s="86"/>
      <c r="S48" s="86">
        <v>6</v>
      </c>
      <c r="T48" s="86">
        <v>8</v>
      </c>
      <c r="U48" s="86"/>
      <c r="V48" s="86">
        <v>8</v>
      </c>
      <c r="W48" s="86"/>
      <c r="X48" s="86">
        <v>6</v>
      </c>
      <c r="Y48" s="86"/>
      <c r="Z48" s="86"/>
      <c r="AA48" s="86"/>
      <c r="AB48" s="86"/>
      <c r="AC48" s="86"/>
      <c r="AD48" s="86"/>
      <c r="AE48" s="86"/>
      <c r="AF48" s="86"/>
      <c r="AG48" s="86"/>
      <c r="AH48" s="84">
        <f t="shared" si="0"/>
        <v>110</v>
      </c>
    </row>
    <row r="49" spans="1:35" ht="20.100000000000001" customHeight="1" x14ac:dyDescent="0.25">
      <c r="A49" s="85">
        <v>47</v>
      </c>
      <c r="B49" s="81" t="s">
        <v>78</v>
      </c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4">
        <f t="shared" si="0"/>
        <v>0</v>
      </c>
    </row>
    <row r="50" spans="1:35" ht="20.100000000000001" customHeight="1" x14ac:dyDescent="0.25">
      <c r="A50" s="85">
        <v>48</v>
      </c>
      <c r="B50" s="81" t="s">
        <v>79</v>
      </c>
      <c r="C50" s="86"/>
      <c r="D50" s="86">
        <v>12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4">
        <f t="shared" si="0"/>
        <v>12</v>
      </c>
    </row>
    <row r="51" spans="1:35" ht="20.100000000000001" customHeight="1" x14ac:dyDescent="0.25">
      <c r="A51" s="85">
        <v>49</v>
      </c>
      <c r="B51" s="81" t="s">
        <v>80</v>
      </c>
      <c r="C51" s="86">
        <v>1</v>
      </c>
      <c r="D51" s="86"/>
      <c r="E51" s="86"/>
      <c r="F51" s="86"/>
      <c r="G51" s="86"/>
      <c r="H51" s="86">
        <v>2</v>
      </c>
      <c r="I51" s="86"/>
      <c r="J51" s="86"/>
      <c r="K51" s="86">
        <v>2</v>
      </c>
      <c r="L51" s="86"/>
      <c r="M51" s="86">
        <v>1</v>
      </c>
      <c r="N51" s="86"/>
      <c r="O51" s="86">
        <v>2</v>
      </c>
      <c r="P51" s="86"/>
      <c r="Q51" s="86">
        <v>2</v>
      </c>
      <c r="R51" s="86"/>
      <c r="S51" s="86">
        <v>2</v>
      </c>
      <c r="T51" s="86">
        <v>2</v>
      </c>
      <c r="U51" s="86"/>
      <c r="V51" s="86"/>
      <c r="W51" s="86"/>
      <c r="X51" s="86">
        <v>1</v>
      </c>
      <c r="Y51" s="86"/>
      <c r="Z51" s="86"/>
      <c r="AA51" s="86"/>
      <c r="AB51" s="86"/>
      <c r="AC51" s="86"/>
      <c r="AD51" s="86"/>
      <c r="AE51" s="86"/>
      <c r="AF51" s="86"/>
      <c r="AG51" s="86"/>
      <c r="AH51" s="84">
        <f t="shared" si="0"/>
        <v>15</v>
      </c>
    </row>
    <row r="52" spans="1:35" ht="20.100000000000001" customHeight="1" x14ac:dyDescent="0.25">
      <c r="A52" s="85">
        <v>50</v>
      </c>
      <c r="B52" s="81" t="s">
        <v>90</v>
      </c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4">
        <f t="shared" si="0"/>
        <v>0</v>
      </c>
    </row>
    <row r="53" spans="1:35" ht="20.100000000000001" customHeight="1" x14ac:dyDescent="0.25">
      <c r="A53" s="85">
        <v>51</v>
      </c>
      <c r="B53" s="81" t="s">
        <v>171</v>
      </c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4">
        <f t="shared" si="0"/>
        <v>0</v>
      </c>
    </row>
    <row r="54" spans="1:35" ht="20.100000000000001" customHeight="1" x14ac:dyDescent="0.25">
      <c r="A54" s="85">
        <v>52</v>
      </c>
      <c r="B54" s="81" t="s">
        <v>89</v>
      </c>
      <c r="C54" s="86"/>
      <c r="D54" s="86"/>
      <c r="E54" s="86"/>
      <c r="F54" s="86"/>
      <c r="G54" s="86"/>
      <c r="H54" s="86">
        <v>2</v>
      </c>
      <c r="I54" s="86"/>
      <c r="J54" s="86"/>
      <c r="K54" s="86"/>
      <c r="L54" s="86">
        <v>2</v>
      </c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4">
        <f t="shared" si="0"/>
        <v>4</v>
      </c>
    </row>
    <row r="55" spans="1:35" ht="20.100000000000001" customHeight="1" x14ac:dyDescent="0.25">
      <c r="A55" s="85">
        <v>53</v>
      </c>
      <c r="B55" s="81" t="s">
        <v>94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>
        <v>1000</v>
      </c>
      <c r="Y55" s="86"/>
      <c r="Z55" s="86"/>
      <c r="AA55" s="86"/>
      <c r="AB55" s="86"/>
      <c r="AC55" s="86"/>
      <c r="AD55" s="86"/>
      <c r="AE55" s="86"/>
      <c r="AF55" s="86"/>
      <c r="AG55" s="86"/>
      <c r="AH55" s="84">
        <f t="shared" si="0"/>
        <v>1000</v>
      </c>
    </row>
    <row r="56" spans="1:35" s="55" customFormat="1" ht="20.100000000000001" customHeight="1" x14ac:dyDescent="0.25">
      <c r="A56" s="85">
        <v>54</v>
      </c>
      <c r="B56" s="81" t="s">
        <v>96</v>
      </c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4">
        <f t="shared" si="0"/>
        <v>0</v>
      </c>
      <c r="AI56" s="2"/>
    </row>
    <row r="57" spans="1:35" s="56" customFormat="1" ht="20.100000000000001" customHeight="1" x14ac:dyDescent="0.25">
      <c r="A57" s="85">
        <v>55</v>
      </c>
      <c r="B57" s="28" t="s">
        <v>98</v>
      </c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4">
        <f t="shared" si="0"/>
        <v>0</v>
      </c>
      <c r="AI57" s="2"/>
    </row>
    <row r="58" spans="1:35" s="72" customFormat="1" ht="20.100000000000001" customHeight="1" x14ac:dyDescent="0.25">
      <c r="A58" s="85">
        <v>56</v>
      </c>
      <c r="B58" s="28" t="s">
        <v>172</v>
      </c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>
        <v>1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4">
        <f t="shared" si="0"/>
        <v>1</v>
      </c>
      <c r="AI58" s="2"/>
    </row>
    <row r="59" spans="1:35" ht="20.100000000000001" customHeight="1" x14ac:dyDescent="0.25">
      <c r="A59" s="85">
        <v>57</v>
      </c>
      <c r="B59" s="81" t="s">
        <v>95</v>
      </c>
      <c r="C59" s="86"/>
      <c r="D59" s="86"/>
      <c r="E59" s="91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4">
        <f t="shared" si="0"/>
        <v>0</v>
      </c>
    </row>
  </sheetData>
  <mergeCells count="1">
    <mergeCell ref="A1:AH1"/>
  </mergeCells>
  <pageMargins left="0.16" right="0.18" top="0.24" bottom="0.17" header="0.17" footer="0.22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view="pageBreakPreview" topLeftCell="A31" zoomScale="89" zoomScaleSheetLayoutView="89" workbookViewId="0">
      <selection activeCell="D27" sqref="D27"/>
    </sheetView>
  </sheetViews>
  <sheetFormatPr defaultRowHeight="18.75" x14ac:dyDescent="0.3"/>
  <cols>
    <col min="1" max="1" width="6.85546875" style="52" customWidth="1"/>
    <col min="2" max="2" width="25.5703125" style="53" customWidth="1"/>
    <col min="3" max="4" width="20.42578125" style="59" customWidth="1"/>
    <col min="5" max="5" width="20.42578125" style="50" customWidth="1"/>
    <col min="6" max="6" width="9.140625" style="2"/>
    <col min="7" max="16384" width="9.140625" style="59"/>
  </cols>
  <sheetData>
    <row r="1" spans="1:6" ht="54.75" customHeight="1" x14ac:dyDescent="0.3">
      <c r="A1" s="106" t="s">
        <v>106</v>
      </c>
      <c r="B1" s="106"/>
      <c r="C1" s="106"/>
      <c r="D1" s="106"/>
      <c r="E1" s="106"/>
    </row>
    <row r="2" spans="1:6" ht="47.25" customHeight="1" x14ac:dyDescent="0.25">
      <c r="A2" s="54" t="s">
        <v>76</v>
      </c>
      <c r="B2" s="60" t="s">
        <v>75</v>
      </c>
      <c r="C2" s="67" t="s">
        <v>99</v>
      </c>
      <c r="D2" s="67" t="s">
        <v>100</v>
      </c>
      <c r="E2" s="67" t="s">
        <v>97</v>
      </c>
      <c r="F2" s="1"/>
    </row>
    <row r="3" spans="1:6" ht="20.45" customHeight="1" x14ac:dyDescent="0.25">
      <c r="A3" s="61">
        <v>1</v>
      </c>
      <c r="B3" s="51" t="s">
        <v>43</v>
      </c>
      <c r="C3" s="62">
        <f>Indent!AH3</f>
        <v>4900</v>
      </c>
      <c r="D3" s="62">
        <f>'June-26'!B34</f>
        <v>8743</v>
      </c>
      <c r="E3" s="62">
        <f>C3-D3</f>
        <v>-3843</v>
      </c>
    </row>
    <row r="4" spans="1:6" ht="20.45" customHeight="1" x14ac:dyDescent="0.25">
      <c r="A4" s="61">
        <v>2</v>
      </c>
      <c r="B4" s="51" t="s">
        <v>3</v>
      </c>
      <c r="C4" s="62">
        <f>Indent!AH4</f>
        <v>1575</v>
      </c>
      <c r="D4" s="62">
        <f>'June-26'!D34</f>
        <v>2185</v>
      </c>
      <c r="E4" s="62">
        <f t="shared" ref="E4:E55" si="0">C4-D4</f>
        <v>-610</v>
      </c>
    </row>
    <row r="5" spans="1:6" ht="20.45" customHeight="1" x14ac:dyDescent="0.25">
      <c r="A5" s="61">
        <v>3</v>
      </c>
      <c r="B5" s="51" t="s">
        <v>11</v>
      </c>
      <c r="C5" s="62">
        <f>Indent!AH5</f>
        <v>4000</v>
      </c>
      <c r="D5" s="62">
        <f>'June-26'!O34</f>
        <v>4937</v>
      </c>
      <c r="E5" s="62">
        <f t="shared" si="0"/>
        <v>-937</v>
      </c>
    </row>
    <row r="6" spans="1:6" ht="20.45" customHeight="1" x14ac:dyDescent="0.25">
      <c r="A6" s="61">
        <v>4</v>
      </c>
      <c r="B6" s="51" t="s">
        <v>12</v>
      </c>
      <c r="C6" s="62">
        <f>Indent!AH6</f>
        <v>4325</v>
      </c>
      <c r="D6" s="62">
        <f>'June-26'!P34</f>
        <v>5278</v>
      </c>
      <c r="E6" s="62">
        <f t="shared" si="0"/>
        <v>-953</v>
      </c>
    </row>
    <row r="7" spans="1:6" ht="20.45" customHeight="1" x14ac:dyDescent="0.25">
      <c r="A7" s="61">
        <v>5</v>
      </c>
      <c r="B7" s="51" t="s">
        <v>13</v>
      </c>
      <c r="C7" s="62">
        <f>Indent!AH7</f>
        <v>900</v>
      </c>
      <c r="D7" s="62">
        <f>'June-26'!Q34</f>
        <v>1170</v>
      </c>
      <c r="E7" s="62">
        <f t="shared" si="0"/>
        <v>-270</v>
      </c>
    </row>
    <row r="8" spans="1:6" ht="20.45" customHeight="1" x14ac:dyDescent="0.25">
      <c r="A8" s="61">
        <v>6</v>
      </c>
      <c r="B8" s="51" t="s">
        <v>14</v>
      </c>
      <c r="C8" s="62">
        <f>Indent!AH8</f>
        <v>300</v>
      </c>
      <c r="D8" s="62">
        <f>'June-26'!S34</f>
        <v>478</v>
      </c>
      <c r="E8" s="62">
        <f t="shared" si="0"/>
        <v>-178</v>
      </c>
    </row>
    <row r="9" spans="1:6" ht="20.45" customHeight="1" x14ac:dyDescent="0.25">
      <c r="A9" s="61">
        <v>7</v>
      </c>
      <c r="B9" s="51" t="s">
        <v>38</v>
      </c>
      <c r="C9" s="62">
        <f>Indent!AH9</f>
        <v>100</v>
      </c>
      <c r="D9" s="62">
        <f>'June-26'!E34</f>
        <v>153</v>
      </c>
      <c r="E9" s="62">
        <f t="shared" si="0"/>
        <v>-53</v>
      </c>
    </row>
    <row r="10" spans="1:6" ht="20.45" customHeight="1" x14ac:dyDescent="0.25">
      <c r="A10" s="61">
        <v>8</v>
      </c>
      <c r="B10" s="51" t="s">
        <v>17</v>
      </c>
      <c r="C10" s="62">
        <f>Indent!AH10</f>
        <v>150</v>
      </c>
      <c r="D10" s="62">
        <f>'June-26'!V34</f>
        <v>247</v>
      </c>
      <c r="E10" s="62">
        <f t="shared" si="0"/>
        <v>-97</v>
      </c>
    </row>
    <row r="11" spans="1:6" ht="20.45" customHeight="1" x14ac:dyDescent="0.25">
      <c r="A11" s="61">
        <v>9</v>
      </c>
      <c r="B11" s="51" t="s">
        <v>18</v>
      </c>
      <c r="C11" s="62">
        <f>Indent!AH11</f>
        <v>0</v>
      </c>
      <c r="D11" s="62">
        <f>'June-26'!W34</f>
        <v>0</v>
      </c>
      <c r="E11" s="62">
        <f t="shared" si="0"/>
        <v>0</v>
      </c>
    </row>
    <row r="12" spans="1:6" ht="20.45" customHeight="1" x14ac:dyDescent="0.25">
      <c r="A12" s="61">
        <v>10</v>
      </c>
      <c r="B12" s="51" t="s">
        <v>8</v>
      </c>
      <c r="C12" s="62">
        <f>Indent!AH12</f>
        <v>0</v>
      </c>
      <c r="D12" s="62">
        <f>'June-26'!J34</f>
        <v>1932</v>
      </c>
      <c r="E12" s="62">
        <f t="shared" si="0"/>
        <v>-1932</v>
      </c>
    </row>
    <row r="13" spans="1:6" ht="20.45" customHeight="1" x14ac:dyDescent="0.25">
      <c r="A13" s="61">
        <v>11</v>
      </c>
      <c r="B13" s="51" t="s">
        <v>46</v>
      </c>
      <c r="C13" s="62">
        <f>Indent!AH13</f>
        <v>4</v>
      </c>
      <c r="D13" s="62">
        <f>'June-26'!K34</f>
        <v>4594</v>
      </c>
      <c r="E13" s="62">
        <f t="shared" si="0"/>
        <v>-4590</v>
      </c>
    </row>
    <row r="14" spans="1:6" ht="20.45" customHeight="1" x14ac:dyDescent="0.25">
      <c r="A14" s="61">
        <v>12</v>
      </c>
      <c r="B14" s="51" t="s">
        <v>9</v>
      </c>
      <c r="C14" s="62">
        <f>Indent!AH14</f>
        <v>4</v>
      </c>
      <c r="D14" s="62">
        <f>'June-26'!L34</f>
        <v>4594</v>
      </c>
      <c r="E14" s="62">
        <f t="shared" si="0"/>
        <v>-4590</v>
      </c>
    </row>
    <row r="15" spans="1:6" ht="20.45" customHeight="1" x14ac:dyDescent="0.25">
      <c r="A15" s="61">
        <v>13</v>
      </c>
      <c r="B15" s="51" t="s">
        <v>39</v>
      </c>
      <c r="C15" s="62">
        <f>Indent!AH15</f>
        <v>0</v>
      </c>
      <c r="D15" s="73"/>
      <c r="E15" s="62">
        <f t="shared" si="0"/>
        <v>0</v>
      </c>
    </row>
    <row r="16" spans="1:6" ht="20.45" customHeight="1" x14ac:dyDescent="0.25">
      <c r="A16" s="61">
        <v>14</v>
      </c>
      <c r="B16" s="51" t="s">
        <v>44</v>
      </c>
      <c r="C16" s="62">
        <f>Indent!AH16</f>
        <v>3</v>
      </c>
      <c r="D16" s="62">
        <f>'June-26'!M34</f>
        <v>2860</v>
      </c>
      <c r="E16" s="62">
        <f t="shared" si="0"/>
        <v>-2857</v>
      </c>
    </row>
    <row r="17" spans="1:5" ht="20.45" customHeight="1" x14ac:dyDescent="0.25">
      <c r="A17" s="61">
        <v>15</v>
      </c>
      <c r="B17" s="51" t="s">
        <v>45</v>
      </c>
      <c r="C17" s="62">
        <f>Indent!AH17</f>
        <v>2</v>
      </c>
      <c r="D17" s="62">
        <f>'June-26'!M34</f>
        <v>2860</v>
      </c>
      <c r="E17" s="62">
        <f t="shared" si="0"/>
        <v>-2858</v>
      </c>
    </row>
    <row r="18" spans="1:5" ht="20.45" customHeight="1" x14ac:dyDescent="0.25">
      <c r="A18" s="61">
        <v>16</v>
      </c>
      <c r="B18" s="51" t="s">
        <v>81</v>
      </c>
      <c r="C18" s="62">
        <f>Indent!AH21</f>
        <v>2</v>
      </c>
      <c r="D18" s="62">
        <f>'June-26'!M34</f>
        <v>2860</v>
      </c>
      <c r="E18" s="62">
        <f t="shared" si="0"/>
        <v>-2858</v>
      </c>
    </row>
    <row r="19" spans="1:5" ht="20.45" customHeight="1" x14ac:dyDescent="0.25">
      <c r="A19" s="61">
        <v>17</v>
      </c>
      <c r="B19" s="51" t="s">
        <v>82</v>
      </c>
      <c r="C19" s="62">
        <f>Indent!AH22</f>
        <v>3</v>
      </c>
      <c r="D19" s="62">
        <f>'June-26'!M34</f>
        <v>2860</v>
      </c>
      <c r="E19" s="62">
        <f t="shared" si="0"/>
        <v>-2857</v>
      </c>
    </row>
    <row r="20" spans="1:5" ht="20.45" customHeight="1" x14ac:dyDescent="0.25">
      <c r="A20" s="61">
        <v>18</v>
      </c>
      <c r="B20" s="51" t="s">
        <v>72</v>
      </c>
      <c r="C20" s="62">
        <f>Indent!AH23</f>
        <v>2</v>
      </c>
      <c r="D20" s="62">
        <f>'June-26'!N34</f>
        <v>2697</v>
      </c>
      <c r="E20" s="62">
        <f t="shared" si="0"/>
        <v>-2695</v>
      </c>
    </row>
    <row r="21" spans="1:5" ht="20.45" customHeight="1" x14ac:dyDescent="0.25">
      <c r="A21" s="61">
        <v>19</v>
      </c>
      <c r="B21" s="51" t="s">
        <v>47</v>
      </c>
      <c r="C21" s="62">
        <f>Indent!AH24</f>
        <v>2</v>
      </c>
      <c r="D21" s="62">
        <f>'June-26'!R34</f>
        <v>124</v>
      </c>
      <c r="E21" s="62">
        <f t="shared" si="0"/>
        <v>-122</v>
      </c>
    </row>
    <row r="22" spans="1:5" ht="20.45" customHeight="1" x14ac:dyDescent="0.25">
      <c r="A22" s="61">
        <v>20</v>
      </c>
      <c r="B22" s="51" t="s">
        <v>4</v>
      </c>
      <c r="C22" s="62">
        <f>Indent!AH25</f>
        <v>5</v>
      </c>
      <c r="D22" s="62">
        <f>'June-26'!F34</f>
        <v>1403</v>
      </c>
      <c r="E22" s="62">
        <f t="shared" si="0"/>
        <v>-1398</v>
      </c>
    </row>
    <row r="23" spans="1:5" ht="20.45" customHeight="1" x14ac:dyDescent="0.25">
      <c r="A23" s="61">
        <v>21</v>
      </c>
      <c r="B23" s="51" t="s">
        <v>5</v>
      </c>
      <c r="C23" s="62">
        <f>Indent!AH26</f>
        <v>5</v>
      </c>
      <c r="D23" s="62">
        <f>'June-26'!G34</f>
        <v>1403</v>
      </c>
      <c r="E23" s="62">
        <f t="shared" si="0"/>
        <v>-1398</v>
      </c>
    </row>
    <row r="24" spans="1:5" ht="20.45" customHeight="1" x14ac:dyDescent="0.25">
      <c r="A24" s="61">
        <v>22</v>
      </c>
      <c r="B24" s="51" t="s">
        <v>6</v>
      </c>
      <c r="C24" s="62">
        <f>Indent!AH27</f>
        <v>102</v>
      </c>
      <c r="D24" s="62">
        <f>'June-26'!H34</f>
        <v>246</v>
      </c>
      <c r="E24" s="62">
        <f t="shared" si="0"/>
        <v>-144</v>
      </c>
    </row>
    <row r="25" spans="1:5" ht="20.45" customHeight="1" x14ac:dyDescent="0.25">
      <c r="A25" s="61">
        <v>23</v>
      </c>
      <c r="B25" s="51" t="s">
        <v>7</v>
      </c>
      <c r="C25" s="62">
        <f>Indent!AH28</f>
        <v>0</v>
      </c>
      <c r="D25" s="62">
        <f>'June-26'!I34</f>
        <v>44</v>
      </c>
      <c r="E25" s="62">
        <f t="shared" si="0"/>
        <v>-44</v>
      </c>
    </row>
    <row r="26" spans="1:5" ht="20.45" customHeight="1" x14ac:dyDescent="0.25">
      <c r="A26" s="61">
        <v>24</v>
      </c>
      <c r="B26" s="51" t="s">
        <v>2</v>
      </c>
      <c r="C26" s="62">
        <f>Indent!AH29</f>
        <v>0</v>
      </c>
      <c r="D26" s="62">
        <f>'June-26'!C34</f>
        <v>190</v>
      </c>
      <c r="E26" s="62">
        <f t="shared" si="0"/>
        <v>-190</v>
      </c>
    </row>
    <row r="27" spans="1:5" ht="20.45" customHeight="1" x14ac:dyDescent="0.25">
      <c r="A27" s="61">
        <v>25</v>
      </c>
      <c r="B27" s="51" t="s">
        <v>15</v>
      </c>
      <c r="C27" s="62">
        <f>Indent!AH30</f>
        <v>0</v>
      </c>
      <c r="D27" s="62"/>
      <c r="E27" s="62">
        <f t="shared" si="0"/>
        <v>0</v>
      </c>
    </row>
    <row r="28" spans="1:5" ht="20.45" customHeight="1" x14ac:dyDescent="0.25">
      <c r="A28" s="61">
        <v>26</v>
      </c>
      <c r="B28" s="51" t="s">
        <v>16</v>
      </c>
      <c r="C28" s="62">
        <f>Indent!AH31</f>
        <v>0</v>
      </c>
      <c r="D28" s="62"/>
      <c r="E28" s="62">
        <f t="shared" si="0"/>
        <v>0</v>
      </c>
    </row>
    <row r="29" spans="1:5" ht="20.45" customHeight="1" x14ac:dyDescent="0.25">
      <c r="A29" s="61">
        <v>27</v>
      </c>
      <c r="B29" s="51" t="s">
        <v>73</v>
      </c>
      <c r="C29" s="62">
        <f>Indent!AH32</f>
        <v>6000</v>
      </c>
      <c r="D29" s="62"/>
      <c r="E29" s="62">
        <f t="shared" si="0"/>
        <v>6000</v>
      </c>
    </row>
    <row r="30" spans="1:5" ht="20.45" customHeight="1" x14ac:dyDescent="0.25">
      <c r="A30" s="61">
        <v>28</v>
      </c>
      <c r="B30" s="51" t="s">
        <v>19</v>
      </c>
      <c r="C30" s="62">
        <f>Indent!AH33</f>
        <v>3</v>
      </c>
      <c r="D30" s="62"/>
      <c r="E30" s="62">
        <f t="shared" si="0"/>
        <v>3</v>
      </c>
    </row>
    <row r="31" spans="1:5" ht="20.45" customHeight="1" x14ac:dyDescent="0.25">
      <c r="A31" s="61">
        <v>29</v>
      </c>
      <c r="B31" s="51" t="s">
        <v>20</v>
      </c>
      <c r="C31" s="62">
        <f>Indent!AH34</f>
        <v>0</v>
      </c>
      <c r="D31" s="62"/>
      <c r="E31" s="62">
        <f t="shared" si="0"/>
        <v>0</v>
      </c>
    </row>
    <row r="32" spans="1:5" ht="20.45" customHeight="1" x14ac:dyDescent="0.25">
      <c r="A32" s="61">
        <v>30</v>
      </c>
      <c r="B32" s="51" t="s">
        <v>21</v>
      </c>
      <c r="C32" s="62">
        <f>Indent!AH35</f>
        <v>1</v>
      </c>
      <c r="D32" s="62"/>
      <c r="E32" s="62">
        <f t="shared" si="0"/>
        <v>1</v>
      </c>
    </row>
    <row r="33" spans="1:6" ht="20.45" customHeight="1" x14ac:dyDescent="0.25">
      <c r="A33" s="61">
        <v>31</v>
      </c>
      <c r="B33" s="51" t="s">
        <v>22</v>
      </c>
      <c r="C33" s="62">
        <f>Indent!AH36</f>
        <v>0</v>
      </c>
      <c r="D33" s="62"/>
      <c r="E33" s="62">
        <f t="shared" si="0"/>
        <v>0</v>
      </c>
    </row>
    <row r="34" spans="1:6" ht="20.45" customHeight="1" x14ac:dyDescent="0.25">
      <c r="A34" s="61">
        <v>32</v>
      </c>
      <c r="B34" s="51" t="s">
        <v>37</v>
      </c>
      <c r="C34" s="62">
        <f>Indent!AH37</f>
        <v>2</v>
      </c>
      <c r="D34" s="62"/>
      <c r="E34" s="62">
        <f t="shared" si="0"/>
        <v>2</v>
      </c>
    </row>
    <row r="35" spans="1:6" ht="20.45" customHeight="1" x14ac:dyDescent="0.25">
      <c r="A35" s="61">
        <v>33</v>
      </c>
      <c r="B35" s="51" t="s">
        <v>36</v>
      </c>
      <c r="C35" s="62">
        <f>Indent!AH38</f>
        <v>2</v>
      </c>
      <c r="D35" s="62"/>
      <c r="E35" s="62">
        <f t="shared" si="0"/>
        <v>2</v>
      </c>
    </row>
    <row r="36" spans="1:6" ht="20.45" customHeight="1" x14ac:dyDescent="0.25">
      <c r="A36" s="61">
        <v>34</v>
      </c>
      <c r="B36" s="51" t="s">
        <v>35</v>
      </c>
      <c r="C36" s="62">
        <f>Indent!AH39</f>
        <v>0</v>
      </c>
      <c r="D36" s="62"/>
      <c r="E36" s="62">
        <f t="shared" si="0"/>
        <v>0</v>
      </c>
    </row>
    <row r="37" spans="1:6" ht="20.45" customHeight="1" x14ac:dyDescent="0.25">
      <c r="A37" s="61">
        <v>35</v>
      </c>
      <c r="B37" s="51" t="s">
        <v>40</v>
      </c>
      <c r="C37" s="62">
        <f>Indent!AH40</f>
        <v>400</v>
      </c>
      <c r="D37" s="62"/>
      <c r="E37" s="62">
        <f t="shared" si="0"/>
        <v>400</v>
      </c>
    </row>
    <row r="38" spans="1:6" ht="20.45" customHeight="1" x14ac:dyDescent="0.25">
      <c r="A38" s="61">
        <v>36</v>
      </c>
      <c r="B38" s="51" t="s">
        <v>24</v>
      </c>
      <c r="C38" s="62">
        <f>Indent!AH41</f>
        <v>6600</v>
      </c>
      <c r="D38" s="62"/>
      <c r="E38" s="62">
        <f t="shared" si="0"/>
        <v>6600</v>
      </c>
      <c r="F38" s="2">
        <v>0</v>
      </c>
    </row>
    <row r="39" spans="1:6" ht="20.45" customHeight="1" x14ac:dyDescent="0.25">
      <c r="A39" s="61">
        <v>37</v>
      </c>
      <c r="B39" s="51" t="s">
        <v>25</v>
      </c>
      <c r="C39" s="62">
        <f>Indent!AH42</f>
        <v>6000</v>
      </c>
      <c r="D39" s="62"/>
      <c r="E39" s="62">
        <f t="shared" si="0"/>
        <v>6000</v>
      </c>
      <c r="F39" s="2">
        <v>0</v>
      </c>
    </row>
    <row r="40" spans="1:6" ht="20.45" customHeight="1" x14ac:dyDescent="0.25">
      <c r="A40" s="61">
        <v>38</v>
      </c>
      <c r="B40" s="51" t="s">
        <v>26</v>
      </c>
      <c r="C40" s="62">
        <f>Indent!AH43</f>
        <v>800</v>
      </c>
      <c r="D40" s="62"/>
      <c r="E40" s="62">
        <f t="shared" si="0"/>
        <v>800</v>
      </c>
      <c r="F40" s="2">
        <v>100</v>
      </c>
    </row>
    <row r="41" spans="1:6" ht="20.45" customHeight="1" x14ac:dyDescent="0.25">
      <c r="A41" s="61">
        <v>39</v>
      </c>
      <c r="B41" s="51" t="s">
        <v>41</v>
      </c>
      <c r="C41" s="62">
        <f>Indent!AH44</f>
        <v>500</v>
      </c>
      <c r="D41" s="62"/>
      <c r="E41" s="62">
        <f t="shared" si="0"/>
        <v>500</v>
      </c>
    </row>
    <row r="42" spans="1:6" ht="20.45" customHeight="1" x14ac:dyDescent="0.25">
      <c r="A42" s="61">
        <v>40</v>
      </c>
      <c r="B42" s="51" t="s">
        <v>48</v>
      </c>
      <c r="C42" s="62">
        <f>Indent!AH45</f>
        <v>400</v>
      </c>
      <c r="D42" s="62"/>
      <c r="E42" s="62">
        <f t="shared" si="0"/>
        <v>400</v>
      </c>
    </row>
    <row r="43" spans="1:6" ht="20.45" customHeight="1" x14ac:dyDescent="0.25">
      <c r="A43" s="61">
        <v>41</v>
      </c>
      <c r="B43" s="51" t="s">
        <v>74</v>
      </c>
      <c r="C43" s="62">
        <f>Indent!AH46</f>
        <v>1800</v>
      </c>
      <c r="D43" s="62"/>
      <c r="E43" s="62">
        <f t="shared" si="0"/>
        <v>1800</v>
      </c>
      <c r="F43" s="2">
        <v>275</v>
      </c>
    </row>
    <row r="44" spans="1:6" ht="20.45" customHeight="1" x14ac:dyDescent="0.25">
      <c r="A44" s="61">
        <v>42</v>
      </c>
      <c r="B44" s="51" t="s">
        <v>42</v>
      </c>
      <c r="C44" s="62">
        <f>Indent!AH47</f>
        <v>10</v>
      </c>
      <c r="D44" s="62"/>
      <c r="E44" s="62">
        <f t="shared" si="0"/>
        <v>10</v>
      </c>
    </row>
    <row r="45" spans="1:6" ht="20.45" customHeight="1" x14ac:dyDescent="0.25">
      <c r="A45" s="61">
        <v>43</v>
      </c>
      <c r="B45" s="51" t="s">
        <v>77</v>
      </c>
      <c r="C45" s="62">
        <f>Indent!AH48</f>
        <v>110</v>
      </c>
      <c r="D45" s="62"/>
      <c r="E45" s="62">
        <f t="shared" si="0"/>
        <v>110</v>
      </c>
    </row>
    <row r="46" spans="1:6" ht="20.45" customHeight="1" x14ac:dyDescent="0.25">
      <c r="A46" s="61">
        <v>44</v>
      </c>
      <c r="B46" s="51" t="s">
        <v>78</v>
      </c>
      <c r="C46" s="62">
        <f>Indent!AH49</f>
        <v>0</v>
      </c>
      <c r="D46" s="62"/>
      <c r="E46" s="62">
        <f t="shared" si="0"/>
        <v>0</v>
      </c>
    </row>
    <row r="47" spans="1:6" ht="20.45" customHeight="1" x14ac:dyDescent="0.25">
      <c r="A47" s="61">
        <v>45</v>
      </c>
      <c r="B47" s="51" t="s">
        <v>79</v>
      </c>
      <c r="C47" s="62">
        <f>Indent!AH50</f>
        <v>12</v>
      </c>
      <c r="D47" s="62"/>
      <c r="E47" s="62">
        <f t="shared" si="0"/>
        <v>12</v>
      </c>
    </row>
    <row r="48" spans="1:6" ht="20.45" customHeight="1" x14ac:dyDescent="0.25">
      <c r="A48" s="61">
        <v>46</v>
      </c>
      <c r="B48" s="51" t="s">
        <v>80</v>
      </c>
      <c r="C48" s="62">
        <f>Indent!AH51</f>
        <v>15</v>
      </c>
      <c r="D48" s="62"/>
      <c r="E48" s="62">
        <f t="shared" si="0"/>
        <v>15</v>
      </c>
    </row>
    <row r="49" spans="1:5" ht="20.45" customHeight="1" x14ac:dyDescent="0.25">
      <c r="A49" s="61">
        <v>47</v>
      </c>
      <c r="B49" s="51" t="s">
        <v>90</v>
      </c>
      <c r="C49" s="62">
        <f>Indent!AH52</f>
        <v>0</v>
      </c>
      <c r="D49" s="62"/>
      <c r="E49" s="62">
        <f t="shared" si="0"/>
        <v>0</v>
      </c>
    </row>
    <row r="50" spans="1:5" ht="20.45" customHeight="1" x14ac:dyDescent="0.25">
      <c r="A50" s="61">
        <v>48</v>
      </c>
      <c r="B50" s="51" t="s">
        <v>91</v>
      </c>
      <c r="C50" s="62">
        <f>Indent!AH53</f>
        <v>0</v>
      </c>
      <c r="D50" s="62"/>
      <c r="E50" s="62">
        <f t="shared" si="0"/>
        <v>0</v>
      </c>
    </row>
    <row r="51" spans="1:5" ht="20.45" customHeight="1" x14ac:dyDescent="0.25">
      <c r="A51" s="61">
        <v>49</v>
      </c>
      <c r="B51" s="51" t="s">
        <v>89</v>
      </c>
      <c r="C51" s="62">
        <f>Indent!AH54</f>
        <v>4</v>
      </c>
      <c r="D51" s="62"/>
      <c r="E51" s="62">
        <f t="shared" si="0"/>
        <v>4</v>
      </c>
    </row>
    <row r="52" spans="1:5" x14ac:dyDescent="0.25">
      <c r="A52" s="61">
        <v>50</v>
      </c>
      <c r="B52" s="51" t="s">
        <v>94</v>
      </c>
      <c r="C52" s="62">
        <f>Indent!AH55</f>
        <v>1000</v>
      </c>
      <c r="D52" s="62"/>
      <c r="E52" s="62">
        <f t="shared" si="0"/>
        <v>1000</v>
      </c>
    </row>
    <row r="53" spans="1:5" x14ac:dyDescent="0.25">
      <c r="A53" s="61">
        <v>51</v>
      </c>
      <c r="B53" s="51" t="s">
        <v>96</v>
      </c>
      <c r="C53" s="62">
        <f>Indent!AH56</f>
        <v>0</v>
      </c>
      <c r="D53" s="62"/>
      <c r="E53" s="62">
        <f t="shared" si="0"/>
        <v>0</v>
      </c>
    </row>
    <row r="54" spans="1:5" ht="24.75" customHeight="1" x14ac:dyDescent="0.25">
      <c r="A54" s="61">
        <v>52</v>
      </c>
      <c r="B54" s="57" t="s">
        <v>98</v>
      </c>
      <c r="C54" s="62">
        <f>Indent!AH57</f>
        <v>0</v>
      </c>
      <c r="D54" s="62"/>
      <c r="E54" s="62">
        <f t="shared" si="0"/>
        <v>0</v>
      </c>
    </row>
    <row r="55" spans="1:5" ht="16.5" customHeight="1" x14ac:dyDescent="0.25">
      <c r="A55" s="61">
        <v>53</v>
      </c>
      <c r="B55" s="51" t="s">
        <v>95</v>
      </c>
      <c r="C55" s="62">
        <f>Indent!AH59</f>
        <v>0</v>
      </c>
      <c r="D55" s="62"/>
      <c r="E55" s="62">
        <f t="shared" si="0"/>
        <v>0</v>
      </c>
    </row>
  </sheetData>
  <mergeCells count="1">
    <mergeCell ref="A1:E1"/>
  </mergeCells>
  <pageMargins left="0.16" right="0.18" top="0.24" bottom="0.17" header="0.17" footer="0.22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52"/>
  <sheetViews>
    <sheetView view="pageBreakPreview" zoomScale="89" zoomScaleSheetLayoutView="89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A2" sqref="A2:A3"/>
    </sheetView>
  </sheetViews>
  <sheetFormatPr defaultRowHeight="15" x14ac:dyDescent="0.25"/>
  <cols>
    <col min="1" max="1" width="4.42578125" style="2" customWidth="1"/>
    <col min="2" max="2" width="19.28515625" style="24" customWidth="1"/>
    <col min="3" max="26" width="8" style="2" customWidth="1"/>
    <col min="27" max="27" width="4.42578125" style="2" customWidth="1"/>
    <col min="28" max="28" width="19.42578125" style="2" customWidth="1"/>
    <col min="29" max="34" width="8" style="2" customWidth="1"/>
    <col min="53" max="53" width="5.28515625" style="46" customWidth="1"/>
    <col min="54" max="54" width="19.42578125" style="46" customWidth="1"/>
    <col min="79" max="79" width="5.42578125" style="46" customWidth="1"/>
    <col min="80" max="80" width="18.140625" style="46" customWidth="1"/>
    <col min="101" max="101" width="9.140625" customWidth="1"/>
    <col min="102" max="102" width="10.42578125" style="2" customWidth="1"/>
    <col min="103" max="104" width="10.42578125" customWidth="1"/>
  </cols>
  <sheetData>
    <row r="1" spans="1:104" s="23" customFormat="1" ht="54.75" customHeight="1" x14ac:dyDescent="0.25">
      <c r="A1" s="109" t="s">
        <v>104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 t="s">
        <v>83</v>
      </c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 t="s">
        <v>83</v>
      </c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 t="s">
        <v>92</v>
      </c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</row>
    <row r="2" spans="1:104" ht="18.75" x14ac:dyDescent="0.25">
      <c r="A2" s="108" t="s">
        <v>76</v>
      </c>
      <c r="B2" s="107" t="s">
        <v>75</v>
      </c>
      <c r="C2" s="110" t="s">
        <v>139</v>
      </c>
      <c r="D2" s="110"/>
      <c r="E2" s="110"/>
      <c r="F2" s="110" t="s">
        <v>140</v>
      </c>
      <c r="G2" s="110"/>
      <c r="H2" s="110"/>
      <c r="I2" s="110" t="s">
        <v>141</v>
      </c>
      <c r="J2" s="110"/>
      <c r="K2" s="110"/>
      <c r="L2" s="110" t="s">
        <v>142</v>
      </c>
      <c r="M2" s="110"/>
      <c r="N2" s="110"/>
      <c r="O2" s="110" t="s">
        <v>146</v>
      </c>
      <c r="P2" s="110"/>
      <c r="Q2" s="110"/>
      <c r="R2" s="110" t="s">
        <v>143</v>
      </c>
      <c r="S2" s="110"/>
      <c r="T2" s="110"/>
      <c r="U2" s="110" t="s">
        <v>144</v>
      </c>
      <c r="V2" s="110"/>
      <c r="W2" s="110"/>
      <c r="X2" s="110" t="s">
        <v>145</v>
      </c>
      <c r="Y2" s="110"/>
      <c r="Z2" s="110"/>
      <c r="AA2" s="108" t="s">
        <v>76</v>
      </c>
      <c r="AB2" s="107" t="s">
        <v>75</v>
      </c>
      <c r="AC2" s="110" t="s">
        <v>147</v>
      </c>
      <c r="AD2" s="110"/>
      <c r="AE2" s="110"/>
      <c r="AF2" s="110" t="s">
        <v>148</v>
      </c>
      <c r="AG2" s="110"/>
      <c r="AH2" s="110"/>
      <c r="AI2" s="110" t="s">
        <v>149</v>
      </c>
      <c r="AJ2" s="110"/>
      <c r="AK2" s="110"/>
      <c r="AL2" s="110" t="s">
        <v>150</v>
      </c>
      <c r="AM2" s="110"/>
      <c r="AN2" s="110"/>
      <c r="AO2" s="110" t="s">
        <v>151</v>
      </c>
      <c r="AP2" s="110"/>
      <c r="AQ2" s="110"/>
      <c r="AR2" s="110" t="s">
        <v>152</v>
      </c>
      <c r="AS2" s="110"/>
      <c r="AT2" s="110"/>
      <c r="AU2" s="110" t="s">
        <v>153</v>
      </c>
      <c r="AV2" s="110"/>
      <c r="AW2" s="110"/>
      <c r="AX2" s="110" t="s">
        <v>154</v>
      </c>
      <c r="AY2" s="110"/>
      <c r="AZ2" s="110"/>
      <c r="BA2" s="108" t="s">
        <v>76</v>
      </c>
      <c r="BB2" s="107" t="s">
        <v>75</v>
      </c>
      <c r="BC2" s="110" t="s">
        <v>155</v>
      </c>
      <c r="BD2" s="110"/>
      <c r="BE2" s="110"/>
      <c r="BF2" s="110" t="s">
        <v>156</v>
      </c>
      <c r="BG2" s="110"/>
      <c r="BH2" s="110"/>
      <c r="BI2" s="110" t="s">
        <v>157</v>
      </c>
      <c r="BJ2" s="110"/>
      <c r="BK2" s="110"/>
      <c r="BL2" s="110" t="s">
        <v>158</v>
      </c>
      <c r="BM2" s="110"/>
      <c r="BN2" s="110"/>
      <c r="BO2" s="110" t="s">
        <v>159</v>
      </c>
      <c r="BP2" s="110"/>
      <c r="BQ2" s="110"/>
      <c r="BR2" s="110" t="s">
        <v>160</v>
      </c>
      <c r="BS2" s="110"/>
      <c r="BT2" s="110"/>
      <c r="BU2" s="110" t="s">
        <v>161</v>
      </c>
      <c r="BV2" s="110"/>
      <c r="BW2" s="110"/>
      <c r="BX2" s="110" t="s">
        <v>162</v>
      </c>
      <c r="BY2" s="110"/>
      <c r="BZ2" s="110"/>
      <c r="CA2" s="108" t="s">
        <v>76</v>
      </c>
      <c r="CB2" s="107" t="s">
        <v>75</v>
      </c>
      <c r="CC2" s="110" t="s">
        <v>163</v>
      </c>
      <c r="CD2" s="110"/>
      <c r="CE2" s="110"/>
      <c r="CF2" s="110" t="s">
        <v>164</v>
      </c>
      <c r="CG2" s="110"/>
      <c r="CH2" s="110"/>
      <c r="CI2" s="110" t="s">
        <v>165</v>
      </c>
      <c r="CJ2" s="110"/>
      <c r="CK2" s="110"/>
      <c r="CL2" s="110" t="s">
        <v>166</v>
      </c>
      <c r="CM2" s="110"/>
      <c r="CN2" s="110"/>
      <c r="CO2" s="110" t="s">
        <v>167</v>
      </c>
      <c r="CP2" s="110"/>
      <c r="CQ2" s="110"/>
      <c r="CR2" s="110" t="s">
        <v>168</v>
      </c>
      <c r="CS2" s="110"/>
      <c r="CT2" s="110"/>
      <c r="CU2" s="110" t="s">
        <v>169</v>
      </c>
      <c r="CV2" s="110"/>
      <c r="CW2" s="110"/>
      <c r="CX2" s="110" t="s">
        <v>87</v>
      </c>
      <c r="CY2" s="110"/>
      <c r="CZ2" s="110"/>
    </row>
    <row r="3" spans="1:104" s="23" customFormat="1" ht="31.5" x14ac:dyDescent="0.25">
      <c r="A3" s="108"/>
      <c r="B3" s="107"/>
      <c r="C3" s="26" t="s">
        <v>85</v>
      </c>
      <c r="D3" s="26" t="s">
        <v>86</v>
      </c>
      <c r="E3" s="26" t="s">
        <v>84</v>
      </c>
      <c r="F3" s="26" t="s">
        <v>85</v>
      </c>
      <c r="G3" s="26" t="s">
        <v>86</v>
      </c>
      <c r="H3" s="26" t="s">
        <v>84</v>
      </c>
      <c r="I3" s="26" t="s">
        <v>85</v>
      </c>
      <c r="J3" s="26" t="s">
        <v>86</v>
      </c>
      <c r="K3" s="26" t="s">
        <v>84</v>
      </c>
      <c r="L3" s="26" t="s">
        <v>85</v>
      </c>
      <c r="M3" s="26" t="s">
        <v>86</v>
      </c>
      <c r="N3" s="26" t="s">
        <v>84</v>
      </c>
      <c r="O3" s="26" t="s">
        <v>85</v>
      </c>
      <c r="P3" s="26" t="s">
        <v>86</v>
      </c>
      <c r="Q3" s="26" t="s">
        <v>84</v>
      </c>
      <c r="R3" s="26" t="s">
        <v>85</v>
      </c>
      <c r="S3" s="26" t="s">
        <v>86</v>
      </c>
      <c r="T3" s="26" t="s">
        <v>84</v>
      </c>
      <c r="U3" s="26" t="s">
        <v>85</v>
      </c>
      <c r="V3" s="26" t="s">
        <v>86</v>
      </c>
      <c r="W3" s="26" t="s">
        <v>84</v>
      </c>
      <c r="X3" s="26" t="s">
        <v>85</v>
      </c>
      <c r="Y3" s="26" t="s">
        <v>86</v>
      </c>
      <c r="Z3" s="26" t="s">
        <v>84</v>
      </c>
      <c r="AA3" s="108"/>
      <c r="AB3" s="107"/>
      <c r="AC3" s="26" t="s">
        <v>85</v>
      </c>
      <c r="AD3" s="26" t="s">
        <v>86</v>
      </c>
      <c r="AE3" s="26" t="s">
        <v>84</v>
      </c>
      <c r="AF3" s="26" t="s">
        <v>85</v>
      </c>
      <c r="AG3" s="26" t="s">
        <v>86</v>
      </c>
      <c r="AH3" s="26" t="s">
        <v>84</v>
      </c>
      <c r="AI3" s="26" t="s">
        <v>85</v>
      </c>
      <c r="AJ3" s="26" t="s">
        <v>86</v>
      </c>
      <c r="AK3" s="26" t="s">
        <v>84</v>
      </c>
      <c r="AL3" s="26" t="s">
        <v>85</v>
      </c>
      <c r="AM3" s="26" t="s">
        <v>86</v>
      </c>
      <c r="AN3" s="26" t="s">
        <v>84</v>
      </c>
      <c r="AO3" s="26" t="s">
        <v>85</v>
      </c>
      <c r="AP3" s="26" t="s">
        <v>86</v>
      </c>
      <c r="AQ3" s="26" t="s">
        <v>84</v>
      </c>
      <c r="AR3" s="26" t="s">
        <v>85</v>
      </c>
      <c r="AS3" s="26" t="s">
        <v>86</v>
      </c>
      <c r="AT3" s="26" t="s">
        <v>84</v>
      </c>
      <c r="AU3" s="26" t="s">
        <v>85</v>
      </c>
      <c r="AV3" s="26" t="s">
        <v>86</v>
      </c>
      <c r="AW3" s="26" t="s">
        <v>84</v>
      </c>
      <c r="AX3" s="26" t="s">
        <v>85</v>
      </c>
      <c r="AY3" s="26" t="s">
        <v>86</v>
      </c>
      <c r="AZ3" s="26" t="s">
        <v>84</v>
      </c>
      <c r="BA3" s="108"/>
      <c r="BB3" s="107"/>
      <c r="BC3" s="26" t="s">
        <v>85</v>
      </c>
      <c r="BD3" s="26" t="s">
        <v>86</v>
      </c>
      <c r="BE3" s="26" t="s">
        <v>84</v>
      </c>
      <c r="BF3" s="26" t="s">
        <v>85</v>
      </c>
      <c r="BG3" s="26" t="s">
        <v>86</v>
      </c>
      <c r="BH3" s="26" t="s">
        <v>84</v>
      </c>
      <c r="BI3" s="26" t="s">
        <v>85</v>
      </c>
      <c r="BJ3" s="26" t="s">
        <v>86</v>
      </c>
      <c r="BK3" s="26" t="s">
        <v>84</v>
      </c>
      <c r="BL3" s="26" t="s">
        <v>85</v>
      </c>
      <c r="BM3" s="26" t="s">
        <v>86</v>
      </c>
      <c r="BN3" s="26" t="s">
        <v>84</v>
      </c>
      <c r="BO3" s="26" t="s">
        <v>85</v>
      </c>
      <c r="BP3" s="26" t="s">
        <v>86</v>
      </c>
      <c r="BQ3" s="26" t="s">
        <v>84</v>
      </c>
      <c r="BR3" s="26" t="s">
        <v>85</v>
      </c>
      <c r="BS3" s="26" t="s">
        <v>86</v>
      </c>
      <c r="BT3" s="26" t="s">
        <v>84</v>
      </c>
      <c r="BU3" s="26" t="s">
        <v>85</v>
      </c>
      <c r="BV3" s="26" t="s">
        <v>86</v>
      </c>
      <c r="BW3" s="26" t="s">
        <v>84</v>
      </c>
      <c r="BX3" s="26" t="s">
        <v>85</v>
      </c>
      <c r="BY3" s="26" t="s">
        <v>86</v>
      </c>
      <c r="BZ3" s="26" t="s">
        <v>84</v>
      </c>
      <c r="CA3" s="108"/>
      <c r="CB3" s="107"/>
      <c r="CC3" s="26" t="s">
        <v>85</v>
      </c>
      <c r="CD3" s="26" t="s">
        <v>86</v>
      </c>
      <c r="CE3" s="26" t="s">
        <v>84</v>
      </c>
      <c r="CF3" s="26" t="s">
        <v>85</v>
      </c>
      <c r="CG3" s="26" t="s">
        <v>86</v>
      </c>
      <c r="CH3" s="26" t="s">
        <v>84</v>
      </c>
      <c r="CI3" s="26" t="s">
        <v>85</v>
      </c>
      <c r="CJ3" s="26" t="s">
        <v>86</v>
      </c>
      <c r="CK3" s="26" t="s">
        <v>84</v>
      </c>
      <c r="CL3" s="26" t="s">
        <v>85</v>
      </c>
      <c r="CM3" s="26" t="s">
        <v>86</v>
      </c>
      <c r="CN3" s="26" t="s">
        <v>84</v>
      </c>
      <c r="CO3" s="26" t="s">
        <v>85</v>
      </c>
      <c r="CP3" s="26" t="s">
        <v>86</v>
      </c>
      <c r="CQ3" s="26" t="s">
        <v>84</v>
      </c>
      <c r="CR3" s="26" t="s">
        <v>85</v>
      </c>
      <c r="CS3" s="26" t="s">
        <v>86</v>
      </c>
      <c r="CT3" s="26" t="s">
        <v>84</v>
      </c>
      <c r="CU3" s="26" t="s">
        <v>85</v>
      </c>
      <c r="CV3" s="26" t="s">
        <v>86</v>
      </c>
      <c r="CW3" s="26" t="s">
        <v>84</v>
      </c>
      <c r="CX3" s="43" t="s">
        <v>88</v>
      </c>
      <c r="CY3" s="26" t="s">
        <v>86</v>
      </c>
      <c r="CZ3" s="26" t="s">
        <v>84</v>
      </c>
    </row>
    <row r="4" spans="1:104" ht="34.5" customHeight="1" x14ac:dyDescent="0.25">
      <c r="A4" s="27">
        <v>1</v>
      </c>
      <c r="B4" s="28" t="s">
        <v>43</v>
      </c>
      <c r="C4" s="29">
        <v>161</v>
      </c>
      <c r="D4" s="29">
        <v>350</v>
      </c>
      <c r="E4" s="29"/>
      <c r="F4" s="29">
        <f t="shared" ref="F4:F48" si="0">C4+D4+-E4</f>
        <v>511</v>
      </c>
      <c r="G4" s="29">
        <v>0</v>
      </c>
      <c r="H4" s="29"/>
      <c r="I4" s="29">
        <f>F4+G4-H4</f>
        <v>511</v>
      </c>
      <c r="J4" s="29">
        <v>500</v>
      </c>
      <c r="K4" s="29"/>
      <c r="L4" s="29">
        <f>I4+J4+-K4</f>
        <v>1011</v>
      </c>
      <c r="M4" s="29">
        <v>0</v>
      </c>
      <c r="N4" s="29"/>
      <c r="O4" s="29">
        <f>L4+M4-N4</f>
        <v>1011</v>
      </c>
      <c r="P4" s="29">
        <v>0</v>
      </c>
      <c r="Q4" s="29"/>
      <c r="R4" s="42">
        <f>O4+P4-Q4</f>
        <v>1011</v>
      </c>
      <c r="S4" s="29">
        <v>500</v>
      </c>
      <c r="T4" s="29"/>
      <c r="U4" s="42">
        <f>R4+S4-T4</f>
        <v>1511</v>
      </c>
      <c r="V4" s="29">
        <v>500</v>
      </c>
      <c r="W4" s="29"/>
      <c r="X4" s="42">
        <f>U4+V4-W4</f>
        <v>2011</v>
      </c>
      <c r="Y4" s="29">
        <v>500</v>
      </c>
      <c r="Z4" s="29"/>
      <c r="AA4" s="27">
        <v>1</v>
      </c>
      <c r="AB4" s="28" t="s">
        <v>43</v>
      </c>
      <c r="AC4" s="42">
        <f>X4+Y4-Z4</f>
        <v>2511</v>
      </c>
      <c r="AD4" s="29">
        <v>0</v>
      </c>
      <c r="AE4" s="29"/>
      <c r="AF4" s="42">
        <f>AC4+AD4-AE4</f>
        <v>2511</v>
      </c>
      <c r="AG4" s="29">
        <v>500</v>
      </c>
      <c r="AH4" s="29"/>
      <c r="AI4" s="42">
        <f>AF4+AG4-AH4</f>
        <v>3011</v>
      </c>
      <c r="AJ4" s="29">
        <v>500</v>
      </c>
      <c r="AK4" s="29"/>
      <c r="AL4" s="42">
        <f>AI4+AJ4-AK4</f>
        <v>3511</v>
      </c>
      <c r="AM4" s="29">
        <v>0</v>
      </c>
      <c r="AN4" s="29"/>
      <c r="AO4" s="42">
        <f>AL4+AM4-AN4</f>
        <v>3511</v>
      </c>
      <c r="AP4" s="29">
        <v>500</v>
      </c>
      <c r="AQ4" s="29"/>
      <c r="AR4" s="42">
        <f>AO4+AP4-AQ4</f>
        <v>4011</v>
      </c>
      <c r="AS4" s="29">
        <v>500</v>
      </c>
      <c r="AT4" s="29"/>
      <c r="AU4" s="42">
        <f>AR4+AS4-AT4</f>
        <v>4511</v>
      </c>
      <c r="AV4" s="29"/>
      <c r="AW4" s="29"/>
      <c r="AX4" s="42">
        <f>AU4+AV4-AW4</f>
        <v>4511</v>
      </c>
      <c r="AY4" s="42">
        <v>500</v>
      </c>
      <c r="AZ4" s="44"/>
      <c r="BA4" s="27">
        <v>1</v>
      </c>
      <c r="BB4" s="28" t="s">
        <v>43</v>
      </c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27">
        <v>1</v>
      </c>
      <c r="CB4" s="28" t="s">
        <v>43</v>
      </c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26">
        <f t="shared" ref="CX4:CZ8" si="1">CU4+CR4+CO4+CL4+CI4+CF4+CC4+BX4+BU4+BR4+BO4+BO4+BO4+BO4+BL4+BI4+BF4+BC4+AX4+AU4+AR4+AO4+AL4+AI4+AF4+AC4+X4+U4+R4+O4+L4+I4+F4+C4</f>
        <v>35826</v>
      </c>
      <c r="CY4" s="26">
        <f t="shared" si="1"/>
        <v>4850</v>
      </c>
      <c r="CZ4" s="26">
        <f t="shared" si="1"/>
        <v>0</v>
      </c>
    </row>
    <row r="5" spans="1:104" ht="34.5" customHeight="1" x14ac:dyDescent="0.25">
      <c r="A5" s="27">
        <v>2</v>
      </c>
      <c r="B5" s="28" t="s">
        <v>3</v>
      </c>
      <c r="C5" s="29">
        <v>25</v>
      </c>
      <c r="D5" s="30"/>
      <c r="E5" s="29"/>
      <c r="F5" s="40">
        <f t="shared" si="0"/>
        <v>25</v>
      </c>
      <c r="G5" s="29">
        <v>150</v>
      </c>
      <c r="H5" s="29"/>
      <c r="I5" s="29">
        <f>F5+G5-H5</f>
        <v>175</v>
      </c>
      <c r="J5" s="29"/>
      <c r="K5" s="29"/>
      <c r="L5" s="29">
        <f>I5+J5+-K5</f>
        <v>175</v>
      </c>
      <c r="M5" s="29"/>
      <c r="N5" s="29"/>
      <c r="O5" s="29">
        <f>L5+M5-N5</f>
        <v>175</v>
      </c>
      <c r="P5" s="29"/>
      <c r="Q5" s="29"/>
      <c r="R5" s="29">
        <f>O5+P5-Q5</f>
        <v>175</v>
      </c>
      <c r="S5" s="29">
        <v>75</v>
      </c>
      <c r="T5" s="29"/>
      <c r="U5" s="29"/>
      <c r="V5" s="29">
        <v>75</v>
      </c>
      <c r="W5" s="29"/>
      <c r="X5" s="29"/>
      <c r="Y5" s="29">
        <v>75</v>
      </c>
      <c r="Z5" s="29"/>
      <c r="AA5" s="27">
        <v>2</v>
      </c>
      <c r="AB5" s="28" t="s">
        <v>3</v>
      </c>
      <c r="AC5" s="29"/>
      <c r="AD5" s="29">
        <v>150</v>
      </c>
      <c r="AE5" s="29"/>
      <c r="AF5" s="29"/>
      <c r="AG5" s="29"/>
      <c r="AH5" s="29"/>
      <c r="AI5" s="29"/>
      <c r="AJ5" s="29">
        <v>150</v>
      </c>
      <c r="AK5" s="29"/>
      <c r="AL5" s="29"/>
      <c r="AM5" s="29"/>
      <c r="AN5" s="29"/>
      <c r="AO5" s="29"/>
      <c r="AP5" s="29">
        <v>100</v>
      </c>
      <c r="AQ5" s="29"/>
      <c r="AR5" s="29"/>
      <c r="AS5" s="29">
        <v>100</v>
      </c>
      <c r="AT5" s="29"/>
      <c r="AU5" s="29"/>
      <c r="AV5" s="29">
        <v>100</v>
      </c>
      <c r="AW5" s="29"/>
      <c r="AX5" s="44"/>
      <c r="AY5" s="42">
        <v>200</v>
      </c>
      <c r="AZ5" s="44"/>
      <c r="BA5" s="27">
        <v>2</v>
      </c>
      <c r="BB5" s="28" t="s">
        <v>3</v>
      </c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27">
        <v>2</v>
      </c>
      <c r="CB5" s="28" t="s">
        <v>3</v>
      </c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26">
        <f t="shared" si="1"/>
        <v>750</v>
      </c>
      <c r="CY5" s="26">
        <f t="shared" si="1"/>
        <v>1175</v>
      </c>
      <c r="CZ5" s="26">
        <f t="shared" si="1"/>
        <v>0</v>
      </c>
    </row>
    <row r="6" spans="1:104" ht="34.5" customHeight="1" x14ac:dyDescent="0.25">
      <c r="A6" s="27">
        <v>3</v>
      </c>
      <c r="B6" s="28" t="s">
        <v>11</v>
      </c>
      <c r="C6" s="29">
        <v>0</v>
      </c>
      <c r="D6" s="29">
        <v>250</v>
      </c>
      <c r="E6" s="29"/>
      <c r="F6" s="40">
        <f t="shared" si="0"/>
        <v>250</v>
      </c>
      <c r="G6" s="29">
        <v>500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>
        <v>150</v>
      </c>
      <c r="T6" s="29"/>
      <c r="U6" s="29"/>
      <c r="V6" s="29">
        <v>250</v>
      </c>
      <c r="W6" s="29"/>
      <c r="X6" s="29"/>
      <c r="Y6" s="29">
        <v>350</v>
      </c>
      <c r="Z6" s="29"/>
      <c r="AA6" s="27">
        <v>3</v>
      </c>
      <c r="AB6" s="28" t="s">
        <v>11</v>
      </c>
      <c r="AC6" s="29"/>
      <c r="AD6" s="29">
        <v>300</v>
      </c>
      <c r="AE6" s="29"/>
      <c r="AF6" s="29"/>
      <c r="AG6" s="29"/>
      <c r="AH6" s="29"/>
      <c r="AI6" s="29"/>
      <c r="AJ6" s="29">
        <v>75</v>
      </c>
      <c r="AK6" s="29"/>
      <c r="AL6" s="29"/>
      <c r="AM6" s="29"/>
      <c r="AN6" s="29"/>
      <c r="AO6" s="29"/>
      <c r="AP6" s="29">
        <v>250</v>
      </c>
      <c r="AQ6" s="29"/>
      <c r="AR6" s="29"/>
      <c r="AS6" s="29">
        <v>250</v>
      </c>
      <c r="AT6" s="29"/>
      <c r="AU6" s="29"/>
      <c r="AV6" s="29">
        <v>200</v>
      </c>
      <c r="AW6" s="29"/>
      <c r="AX6" s="44"/>
      <c r="AY6" s="42">
        <v>500</v>
      </c>
      <c r="AZ6" s="44"/>
      <c r="BA6" s="27">
        <v>3</v>
      </c>
      <c r="BB6" s="28" t="s">
        <v>11</v>
      </c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27">
        <v>3</v>
      </c>
      <c r="CB6" s="28" t="s">
        <v>11</v>
      </c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26">
        <f t="shared" si="1"/>
        <v>250</v>
      </c>
      <c r="CY6" s="26">
        <f t="shared" si="1"/>
        <v>3075</v>
      </c>
      <c r="CZ6" s="26">
        <f t="shared" si="1"/>
        <v>0</v>
      </c>
    </row>
    <row r="7" spans="1:104" ht="34.5" customHeight="1" x14ac:dyDescent="0.25">
      <c r="A7" s="27">
        <v>4</v>
      </c>
      <c r="B7" s="28" t="s">
        <v>12</v>
      </c>
      <c r="C7" s="29">
        <v>0</v>
      </c>
      <c r="D7" s="29">
        <v>250</v>
      </c>
      <c r="E7" s="29"/>
      <c r="F7" s="40">
        <f t="shared" si="0"/>
        <v>250</v>
      </c>
      <c r="G7" s="29">
        <v>500</v>
      </c>
      <c r="H7" s="29"/>
      <c r="I7" s="29"/>
      <c r="J7" s="29">
        <v>250</v>
      </c>
      <c r="K7" s="29"/>
      <c r="L7" s="29"/>
      <c r="M7" s="29"/>
      <c r="N7" s="29"/>
      <c r="O7" s="29"/>
      <c r="P7" s="29"/>
      <c r="Q7" s="29"/>
      <c r="R7" s="29"/>
      <c r="S7" s="29">
        <v>150</v>
      </c>
      <c r="T7" s="29"/>
      <c r="U7" s="29"/>
      <c r="V7" s="29">
        <v>250</v>
      </c>
      <c r="W7" s="29"/>
      <c r="X7" s="29"/>
      <c r="Y7" s="29">
        <v>350</v>
      </c>
      <c r="Z7" s="29"/>
      <c r="AA7" s="27">
        <v>4</v>
      </c>
      <c r="AB7" s="28" t="s">
        <v>12</v>
      </c>
      <c r="AC7" s="29"/>
      <c r="AD7" s="29">
        <v>300</v>
      </c>
      <c r="AE7" s="29"/>
      <c r="AF7" s="29"/>
      <c r="AG7" s="29"/>
      <c r="AH7" s="29"/>
      <c r="AI7" s="29"/>
      <c r="AJ7" s="29">
        <v>75</v>
      </c>
      <c r="AK7" s="29"/>
      <c r="AL7" s="29"/>
      <c r="AM7" s="29"/>
      <c r="AN7" s="29"/>
      <c r="AO7" s="29"/>
      <c r="AP7" s="29">
        <v>250</v>
      </c>
      <c r="AQ7" s="29"/>
      <c r="AR7" s="29"/>
      <c r="AS7" s="29">
        <v>250</v>
      </c>
      <c r="AT7" s="29"/>
      <c r="AU7" s="29"/>
      <c r="AV7" s="29">
        <v>200</v>
      </c>
      <c r="AW7" s="29"/>
      <c r="AX7" s="44"/>
      <c r="AY7" s="42">
        <v>500</v>
      </c>
      <c r="AZ7" s="44"/>
      <c r="BA7" s="27">
        <v>4</v>
      </c>
      <c r="BB7" s="28" t="s">
        <v>12</v>
      </c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27">
        <v>4</v>
      </c>
      <c r="CB7" s="28" t="s">
        <v>12</v>
      </c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26">
        <f t="shared" si="1"/>
        <v>250</v>
      </c>
      <c r="CY7" s="26">
        <f t="shared" si="1"/>
        <v>3325</v>
      </c>
      <c r="CZ7" s="26">
        <f t="shared" si="1"/>
        <v>0</v>
      </c>
    </row>
    <row r="8" spans="1:104" ht="34.5" customHeight="1" x14ac:dyDescent="0.25">
      <c r="A8" s="27">
        <v>5</v>
      </c>
      <c r="B8" s="28" t="s">
        <v>13</v>
      </c>
      <c r="C8" s="29">
        <v>0</v>
      </c>
      <c r="D8" s="29">
        <v>50</v>
      </c>
      <c r="E8" s="29"/>
      <c r="F8" s="40">
        <f t="shared" si="0"/>
        <v>50</v>
      </c>
      <c r="G8" s="29">
        <v>50</v>
      </c>
      <c r="H8" s="29"/>
      <c r="I8" s="29"/>
      <c r="J8" s="29">
        <v>50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>
        <v>50</v>
      </c>
      <c r="W8" s="29"/>
      <c r="X8" s="29"/>
      <c r="Y8" s="29">
        <v>50</v>
      </c>
      <c r="Z8" s="29"/>
      <c r="AA8" s="27">
        <v>5</v>
      </c>
      <c r="AB8" s="28" t="s">
        <v>13</v>
      </c>
      <c r="AC8" s="29"/>
      <c r="AD8" s="29">
        <v>50</v>
      </c>
      <c r="AE8" s="29"/>
      <c r="AF8" s="29"/>
      <c r="AG8" s="29"/>
      <c r="AH8" s="29"/>
      <c r="AI8" s="29"/>
      <c r="AJ8" s="29">
        <v>50</v>
      </c>
      <c r="AK8" s="29"/>
      <c r="AL8" s="29"/>
      <c r="AM8" s="29"/>
      <c r="AN8" s="29"/>
      <c r="AO8" s="29"/>
      <c r="AP8" s="29">
        <v>50</v>
      </c>
      <c r="AQ8" s="29"/>
      <c r="AR8" s="29"/>
      <c r="AS8" s="29">
        <v>50</v>
      </c>
      <c r="AT8" s="29"/>
      <c r="AU8" s="29"/>
      <c r="AV8" s="29"/>
      <c r="AW8" s="29"/>
      <c r="AX8" s="44"/>
      <c r="AY8" s="42">
        <v>50</v>
      </c>
      <c r="AZ8" s="44"/>
      <c r="BA8" s="27">
        <v>5</v>
      </c>
      <c r="BB8" s="28" t="s">
        <v>13</v>
      </c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27">
        <v>5</v>
      </c>
      <c r="CB8" s="28" t="s">
        <v>13</v>
      </c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26">
        <f t="shared" si="1"/>
        <v>50</v>
      </c>
      <c r="CY8" s="26">
        <f t="shared" si="1"/>
        <v>500</v>
      </c>
      <c r="CZ8" s="26">
        <f t="shared" si="1"/>
        <v>0</v>
      </c>
    </row>
    <row r="9" spans="1:104" ht="34.5" customHeight="1" x14ac:dyDescent="0.25">
      <c r="A9" s="27">
        <v>6</v>
      </c>
      <c r="B9" s="28" t="s">
        <v>14</v>
      </c>
      <c r="C9" s="29">
        <v>21</v>
      </c>
      <c r="D9" s="29"/>
      <c r="E9" s="29"/>
      <c r="F9" s="40">
        <f t="shared" si="0"/>
        <v>21</v>
      </c>
      <c r="G9" s="29"/>
      <c r="H9" s="29"/>
      <c r="I9" s="29"/>
      <c r="J9" s="29"/>
      <c r="K9" s="29"/>
      <c r="L9" s="29"/>
      <c r="M9" s="29"/>
      <c r="N9" s="45"/>
      <c r="O9" s="29"/>
      <c r="P9" s="29"/>
      <c r="Q9" s="45"/>
      <c r="R9" s="29"/>
      <c r="S9" s="29">
        <v>50</v>
      </c>
      <c r="T9" s="29"/>
      <c r="U9" s="29"/>
      <c r="V9" s="29">
        <v>50</v>
      </c>
      <c r="W9" s="29"/>
      <c r="X9" s="29"/>
      <c r="Y9" s="29"/>
      <c r="Z9" s="29"/>
      <c r="AA9" s="27">
        <v>6</v>
      </c>
      <c r="AB9" s="28" t="s">
        <v>14</v>
      </c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>
        <v>50</v>
      </c>
      <c r="AQ9" s="29"/>
      <c r="AR9" s="29"/>
      <c r="AS9" s="29">
        <v>50</v>
      </c>
      <c r="AT9" s="29"/>
      <c r="AU9" s="29"/>
      <c r="AV9" s="29"/>
      <c r="AW9" s="29"/>
      <c r="AX9" s="44"/>
      <c r="AY9" s="42">
        <v>50</v>
      </c>
      <c r="AZ9" s="44"/>
      <c r="BA9" s="27">
        <v>6</v>
      </c>
      <c r="BB9" s="28" t="s">
        <v>14</v>
      </c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27">
        <v>6</v>
      </c>
      <c r="CB9" s="28" t="s">
        <v>14</v>
      </c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26">
        <f t="shared" ref="CX9:CX52" si="2">CU9+CR9+CO9+CL9+CI9+CF9+CC9+BX9+BU9+BR9+BO9+BO9+BO9+BO9+BL9+BI9+BF9+BC9+AX9+AU9+AR9+AO9+AL9+AI9+AF9+AC9+X9+U9+R9+O9+L9+I9+F9+C9</f>
        <v>42</v>
      </c>
      <c r="CY9" s="26">
        <f t="shared" ref="CY9:CY52" si="3">CV9+CS9+CP9+CM9+CJ9+CG9+CD9+BY9+BV9+BS9+BP9+BP9+BP9+BP9+BM9+BJ9+BG9+BD9+AY9+AV9+AS9+AP9+AM9+AJ9+AG9+AD9+Y9+V9+S9+P9+M9+J9+G9+D9</f>
        <v>250</v>
      </c>
      <c r="CZ9" s="26">
        <f t="shared" ref="CZ9:CZ52" si="4">CW9+CT9+CQ9+CN9+CK9+CH9+CE9+BZ9+BW9+BT9+BQ9+BQ9+BQ9+BQ9+BN9+BK9+BH9+BE9+AZ9+AW9+AT9+AQ9+AN9+AK9+AH9+AE9+Z9+W9+T9+Q9+N9+K9+H9+E9</f>
        <v>0</v>
      </c>
    </row>
    <row r="10" spans="1:104" ht="34.5" customHeight="1" x14ac:dyDescent="0.25">
      <c r="A10" s="27">
        <v>7</v>
      </c>
      <c r="B10" s="28" t="s">
        <v>38</v>
      </c>
      <c r="C10" s="29">
        <v>6</v>
      </c>
      <c r="D10" s="29"/>
      <c r="E10" s="29"/>
      <c r="F10" s="40">
        <f t="shared" si="0"/>
        <v>6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7">
        <v>7</v>
      </c>
      <c r="AB10" s="28" t="s">
        <v>38</v>
      </c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>
        <v>100</v>
      </c>
      <c r="AW10" s="29"/>
      <c r="AX10" s="44"/>
      <c r="AY10" s="42"/>
      <c r="AZ10" s="44"/>
      <c r="BA10" s="27">
        <v>7</v>
      </c>
      <c r="BB10" s="28" t="s">
        <v>38</v>
      </c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27">
        <v>7</v>
      </c>
      <c r="CB10" s="28" t="s">
        <v>38</v>
      </c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26">
        <f t="shared" si="2"/>
        <v>12</v>
      </c>
      <c r="CY10" s="26">
        <f t="shared" si="3"/>
        <v>100</v>
      </c>
      <c r="CZ10" s="26">
        <f t="shared" si="4"/>
        <v>0</v>
      </c>
    </row>
    <row r="11" spans="1:104" ht="34.5" customHeight="1" x14ac:dyDescent="0.25">
      <c r="A11" s="27">
        <v>8</v>
      </c>
      <c r="B11" s="28" t="s">
        <v>17</v>
      </c>
      <c r="C11" s="29">
        <v>15</v>
      </c>
      <c r="D11" s="29"/>
      <c r="E11" s="29"/>
      <c r="F11" s="40">
        <f t="shared" si="0"/>
        <v>15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>
        <v>30</v>
      </c>
      <c r="T11" s="29"/>
      <c r="U11" s="29"/>
      <c r="V11" s="29"/>
      <c r="W11" s="29"/>
      <c r="X11" s="29"/>
      <c r="Y11" s="29"/>
      <c r="Z11" s="29"/>
      <c r="AA11" s="27">
        <v>8</v>
      </c>
      <c r="AB11" s="28" t="s">
        <v>17</v>
      </c>
      <c r="AC11" s="29"/>
      <c r="AD11" s="29"/>
      <c r="AE11" s="29"/>
      <c r="AF11" s="29"/>
      <c r="AG11" s="29"/>
      <c r="AH11" s="29"/>
      <c r="AI11" s="29"/>
      <c r="AJ11" s="29">
        <v>30</v>
      </c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44"/>
      <c r="AY11" s="42">
        <v>30</v>
      </c>
      <c r="AZ11" s="44"/>
      <c r="BA11" s="27">
        <v>8</v>
      </c>
      <c r="BB11" s="28" t="s">
        <v>17</v>
      </c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27">
        <v>8</v>
      </c>
      <c r="CB11" s="28" t="s">
        <v>17</v>
      </c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26">
        <f t="shared" si="2"/>
        <v>30</v>
      </c>
      <c r="CY11" s="26">
        <f t="shared" si="3"/>
        <v>90</v>
      </c>
      <c r="CZ11" s="26">
        <f t="shared" si="4"/>
        <v>0</v>
      </c>
    </row>
    <row r="12" spans="1:104" ht="34.5" customHeight="1" x14ac:dyDescent="0.25">
      <c r="A12" s="27">
        <v>9</v>
      </c>
      <c r="B12" s="28" t="s">
        <v>18</v>
      </c>
      <c r="C12" s="29">
        <v>0</v>
      </c>
      <c r="D12" s="29"/>
      <c r="E12" s="29"/>
      <c r="F12" s="40">
        <f t="shared" si="0"/>
        <v>0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7">
        <v>9</v>
      </c>
      <c r="AB12" s="28" t="s">
        <v>18</v>
      </c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44"/>
      <c r="AY12" s="42"/>
      <c r="AZ12" s="44"/>
      <c r="BA12" s="27">
        <v>9</v>
      </c>
      <c r="BB12" s="28" t="s">
        <v>18</v>
      </c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27">
        <v>9</v>
      </c>
      <c r="CB12" s="28" t="s">
        <v>18</v>
      </c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26">
        <f t="shared" si="2"/>
        <v>0</v>
      </c>
      <c r="CY12" s="26">
        <f t="shared" si="3"/>
        <v>0</v>
      </c>
      <c r="CZ12" s="26">
        <f t="shared" si="4"/>
        <v>0</v>
      </c>
    </row>
    <row r="13" spans="1:104" ht="34.5" customHeight="1" x14ac:dyDescent="0.25">
      <c r="A13" s="27">
        <v>10</v>
      </c>
      <c r="B13" s="28" t="s">
        <v>8</v>
      </c>
      <c r="C13" s="29">
        <v>1000</v>
      </c>
      <c r="D13" s="29"/>
      <c r="E13" s="29"/>
      <c r="F13" s="40">
        <f t="shared" si="0"/>
        <v>1000</v>
      </c>
      <c r="G13" s="29"/>
      <c r="H13" s="29"/>
      <c r="I13" s="29"/>
      <c r="J13" s="29"/>
      <c r="K13" s="47"/>
      <c r="L13" s="29"/>
      <c r="M13" s="29"/>
      <c r="N13" s="47"/>
      <c r="O13" s="29"/>
      <c r="P13" s="29"/>
      <c r="Q13" s="47"/>
      <c r="R13" s="29"/>
      <c r="S13" s="29"/>
      <c r="T13" s="47"/>
      <c r="U13" s="29"/>
      <c r="V13" s="29"/>
      <c r="W13" s="47"/>
      <c r="X13" s="29"/>
      <c r="Y13" s="29"/>
      <c r="Z13" s="47"/>
      <c r="AA13" s="27">
        <v>10</v>
      </c>
      <c r="AB13" s="28" t="s">
        <v>8</v>
      </c>
      <c r="AC13" s="29"/>
      <c r="AD13" s="29"/>
      <c r="AE13" s="47"/>
      <c r="AF13" s="29"/>
      <c r="AG13" s="29"/>
      <c r="AH13" s="47"/>
      <c r="AI13" s="29"/>
      <c r="AJ13" s="29"/>
      <c r="AK13" s="47"/>
      <c r="AL13" s="29"/>
      <c r="AM13" s="29"/>
      <c r="AN13" s="47"/>
      <c r="AO13" s="29"/>
      <c r="AP13" s="29"/>
      <c r="AQ13" s="47"/>
      <c r="AR13" s="29"/>
      <c r="AS13" s="29"/>
      <c r="AT13" s="47"/>
      <c r="AU13" s="29"/>
      <c r="AV13" s="29"/>
      <c r="AW13" s="47"/>
      <c r="AX13" s="44"/>
      <c r="AY13" s="42"/>
      <c r="AZ13" s="47"/>
      <c r="BA13" s="27">
        <v>10</v>
      </c>
      <c r="BB13" s="28" t="s">
        <v>8</v>
      </c>
      <c r="BC13" s="44"/>
      <c r="BD13" s="44"/>
      <c r="BE13" s="47"/>
      <c r="BF13" s="44"/>
      <c r="BG13" s="44"/>
      <c r="BH13" s="47"/>
      <c r="BI13" s="44"/>
      <c r="BJ13" s="44"/>
      <c r="BK13" s="47"/>
      <c r="BL13" s="44"/>
      <c r="BM13" s="44"/>
      <c r="BN13" s="47"/>
      <c r="BO13" s="44"/>
      <c r="BP13" s="44"/>
      <c r="BQ13" s="47"/>
      <c r="BR13" s="44"/>
      <c r="BS13" s="44"/>
      <c r="BT13" s="47"/>
      <c r="BU13" s="44"/>
      <c r="BV13" s="44"/>
      <c r="BW13" s="47"/>
      <c r="BX13" s="44"/>
      <c r="BY13" s="44"/>
      <c r="BZ13" s="47"/>
      <c r="CA13" s="27">
        <v>10</v>
      </c>
      <c r="CB13" s="28" t="s">
        <v>8</v>
      </c>
      <c r="CC13" s="44"/>
      <c r="CD13" s="44"/>
      <c r="CE13" s="47"/>
      <c r="CF13" s="44"/>
      <c r="CG13" s="44"/>
      <c r="CH13" s="47"/>
      <c r="CI13" s="44"/>
      <c r="CJ13" s="44"/>
      <c r="CK13" s="47"/>
      <c r="CL13" s="44"/>
      <c r="CM13" s="44"/>
      <c r="CN13" s="47"/>
      <c r="CO13" s="44"/>
      <c r="CP13" s="44"/>
      <c r="CQ13" s="47"/>
      <c r="CR13" s="44"/>
      <c r="CS13" s="44"/>
      <c r="CT13" s="47"/>
      <c r="CU13" s="44"/>
      <c r="CV13" s="44"/>
      <c r="CW13" s="44"/>
      <c r="CX13" s="26">
        <f t="shared" si="2"/>
        <v>2000</v>
      </c>
      <c r="CY13" s="26">
        <f t="shared" si="3"/>
        <v>0</v>
      </c>
      <c r="CZ13" s="26">
        <f t="shared" si="4"/>
        <v>0</v>
      </c>
    </row>
    <row r="14" spans="1:104" ht="34.5" customHeight="1" x14ac:dyDescent="0.25">
      <c r="A14" s="27">
        <v>11</v>
      </c>
      <c r="B14" s="28" t="s">
        <v>46</v>
      </c>
      <c r="C14" s="29"/>
      <c r="D14" s="29"/>
      <c r="E14" s="29"/>
      <c r="F14" s="40">
        <f t="shared" si="0"/>
        <v>0</v>
      </c>
      <c r="G14" s="29"/>
      <c r="H14" s="29"/>
      <c r="I14" s="29"/>
      <c r="J14" s="29">
        <v>1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7">
        <v>11</v>
      </c>
      <c r="AB14" s="28" t="s">
        <v>46</v>
      </c>
      <c r="AC14" s="29"/>
      <c r="AD14" s="29"/>
      <c r="AE14" s="29"/>
      <c r="AF14" s="29"/>
      <c r="AG14" s="29"/>
      <c r="AH14" s="29"/>
      <c r="AI14" s="29"/>
      <c r="AJ14" s="29">
        <v>1</v>
      </c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42"/>
      <c r="AW14" s="29"/>
      <c r="AX14" s="44"/>
      <c r="AY14" s="42"/>
      <c r="AZ14" s="44"/>
      <c r="BA14" s="27">
        <v>11</v>
      </c>
      <c r="BB14" s="28" t="s">
        <v>46</v>
      </c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27">
        <v>11</v>
      </c>
      <c r="CB14" s="28" t="s">
        <v>46</v>
      </c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26">
        <f t="shared" si="2"/>
        <v>0</v>
      </c>
      <c r="CY14" s="26">
        <f t="shared" si="3"/>
        <v>2</v>
      </c>
      <c r="CZ14" s="26">
        <f t="shared" si="4"/>
        <v>0</v>
      </c>
    </row>
    <row r="15" spans="1:104" ht="34.5" customHeight="1" x14ac:dyDescent="0.25">
      <c r="A15" s="27">
        <v>12</v>
      </c>
      <c r="B15" s="28" t="s">
        <v>9</v>
      </c>
      <c r="C15" s="29"/>
      <c r="D15" s="29"/>
      <c r="E15" s="29"/>
      <c r="F15" s="40">
        <f t="shared" si="0"/>
        <v>0</v>
      </c>
      <c r="G15" s="29">
        <v>1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>
        <v>1</v>
      </c>
      <c r="Z15" s="29"/>
      <c r="AA15" s="27">
        <v>12</v>
      </c>
      <c r="AB15" s="28" t="s">
        <v>9</v>
      </c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>
        <v>1</v>
      </c>
      <c r="AW15" s="29"/>
      <c r="AX15" s="44"/>
      <c r="AY15" s="42"/>
      <c r="AZ15" s="44"/>
      <c r="BA15" s="27">
        <v>12</v>
      </c>
      <c r="BB15" s="28" t="s">
        <v>9</v>
      </c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27">
        <v>12</v>
      </c>
      <c r="CB15" s="28" t="s">
        <v>9</v>
      </c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26">
        <f t="shared" si="2"/>
        <v>0</v>
      </c>
      <c r="CY15" s="26">
        <f t="shared" si="3"/>
        <v>3</v>
      </c>
      <c r="CZ15" s="26">
        <f t="shared" si="4"/>
        <v>0</v>
      </c>
    </row>
    <row r="16" spans="1:104" ht="34.5" customHeight="1" x14ac:dyDescent="0.25">
      <c r="A16" s="27">
        <v>13</v>
      </c>
      <c r="B16" s="28" t="s">
        <v>39</v>
      </c>
      <c r="C16" s="29"/>
      <c r="D16" s="29"/>
      <c r="E16" s="29"/>
      <c r="F16" s="40">
        <f t="shared" si="0"/>
        <v>0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>
        <v>1</v>
      </c>
      <c r="W16" s="29"/>
      <c r="X16" s="29"/>
      <c r="Y16" s="29"/>
      <c r="Z16" s="29"/>
      <c r="AA16" s="27">
        <v>13</v>
      </c>
      <c r="AB16" s="28" t="s">
        <v>39</v>
      </c>
      <c r="AC16" s="29"/>
      <c r="AD16" s="29"/>
      <c r="AE16" s="29"/>
      <c r="AF16" s="29"/>
      <c r="AG16" s="29"/>
      <c r="AH16" s="29"/>
      <c r="AI16" s="29"/>
      <c r="AJ16" s="29">
        <v>1</v>
      </c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44"/>
      <c r="AY16" s="42"/>
      <c r="AZ16" s="44"/>
      <c r="BA16" s="27">
        <v>13</v>
      </c>
      <c r="BB16" s="28" t="s">
        <v>39</v>
      </c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27">
        <v>13</v>
      </c>
      <c r="CB16" s="28" t="s">
        <v>39</v>
      </c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26">
        <f t="shared" si="2"/>
        <v>0</v>
      </c>
      <c r="CY16" s="26">
        <f t="shared" si="3"/>
        <v>2</v>
      </c>
      <c r="CZ16" s="26">
        <f t="shared" si="4"/>
        <v>0</v>
      </c>
    </row>
    <row r="17" spans="1:104" ht="34.5" customHeight="1" x14ac:dyDescent="0.25">
      <c r="A17" s="27">
        <v>14</v>
      </c>
      <c r="B17" s="28" t="s">
        <v>44</v>
      </c>
      <c r="C17" s="29"/>
      <c r="D17" s="29"/>
      <c r="E17" s="29"/>
      <c r="F17" s="40">
        <f t="shared" si="0"/>
        <v>0</v>
      </c>
      <c r="G17" s="29"/>
      <c r="H17" s="29"/>
      <c r="I17" s="29"/>
      <c r="J17" s="29">
        <v>1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>
        <v>1</v>
      </c>
      <c r="W17" s="29"/>
      <c r="X17" s="29"/>
      <c r="Y17" s="29"/>
      <c r="Z17" s="29"/>
      <c r="AA17" s="27">
        <v>14</v>
      </c>
      <c r="AB17" s="28" t="s">
        <v>44</v>
      </c>
      <c r="AC17" s="29"/>
      <c r="AD17" s="29"/>
      <c r="AE17" s="29"/>
      <c r="AF17" s="29"/>
      <c r="AG17" s="29"/>
      <c r="AH17" s="29"/>
      <c r="AI17" s="29"/>
      <c r="AJ17" s="29">
        <v>1</v>
      </c>
      <c r="AK17" s="29"/>
      <c r="AL17" s="29"/>
      <c r="AM17" s="29"/>
      <c r="AN17" s="29"/>
      <c r="AO17" s="29"/>
      <c r="AP17" s="29">
        <v>1</v>
      </c>
      <c r="AQ17" s="29"/>
      <c r="AR17" s="29"/>
      <c r="AS17" s="29">
        <v>1</v>
      </c>
      <c r="AT17" s="29"/>
      <c r="AU17" s="29"/>
      <c r="AV17" s="29">
        <v>1</v>
      </c>
      <c r="AW17" s="29"/>
      <c r="AX17" s="44"/>
      <c r="AY17" s="42"/>
      <c r="AZ17" s="44"/>
      <c r="BA17" s="27">
        <v>14</v>
      </c>
      <c r="BB17" s="28" t="s">
        <v>44</v>
      </c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27">
        <v>14</v>
      </c>
      <c r="CB17" s="28" t="s">
        <v>44</v>
      </c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26">
        <f t="shared" si="2"/>
        <v>0</v>
      </c>
      <c r="CY17" s="26">
        <f t="shared" si="3"/>
        <v>6</v>
      </c>
      <c r="CZ17" s="26">
        <f t="shared" si="4"/>
        <v>0</v>
      </c>
    </row>
    <row r="18" spans="1:104" ht="34.5" customHeight="1" x14ac:dyDescent="0.25">
      <c r="A18" s="27">
        <v>15</v>
      </c>
      <c r="B18" s="28" t="s">
        <v>45</v>
      </c>
      <c r="C18" s="29"/>
      <c r="D18" s="29"/>
      <c r="E18" s="29"/>
      <c r="F18" s="40">
        <f t="shared" si="0"/>
        <v>0</v>
      </c>
      <c r="G18" s="29"/>
      <c r="H18" s="29"/>
      <c r="I18" s="29"/>
      <c r="J18" s="29">
        <v>1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>
        <v>1</v>
      </c>
      <c r="W18" s="29"/>
      <c r="X18" s="29"/>
      <c r="Y18" s="29"/>
      <c r="Z18" s="29"/>
      <c r="AA18" s="27">
        <v>15</v>
      </c>
      <c r="AB18" s="28" t="s">
        <v>45</v>
      </c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>
        <v>1</v>
      </c>
      <c r="AQ18" s="29"/>
      <c r="AR18" s="29"/>
      <c r="AS18" s="29">
        <v>1</v>
      </c>
      <c r="AT18" s="29"/>
      <c r="AU18" s="29"/>
      <c r="AV18" s="29">
        <v>1</v>
      </c>
      <c r="AW18" s="29"/>
      <c r="AX18" s="44"/>
      <c r="AY18" s="42">
        <v>1</v>
      </c>
      <c r="AZ18" s="44"/>
      <c r="BA18" s="27">
        <v>15</v>
      </c>
      <c r="BB18" s="28" t="s">
        <v>45</v>
      </c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27">
        <v>15</v>
      </c>
      <c r="CB18" s="28" t="s">
        <v>45</v>
      </c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26">
        <f t="shared" si="2"/>
        <v>0</v>
      </c>
      <c r="CY18" s="26">
        <f t="shared" si="3"/>
        <v>6</v>
      </c>
      <c r="CZ18" s="26">
        <f t="shared" si="4"/>
        <v>0</v>
      </c>
    </row>
    <row r="19" spans="1:104" s="25" customFormat="1" ht="34.5" customHeight="1" x14ac:dyDescent="0.25">
      <c r="A19" s="27">
        <v>16</v>
      </c>
      <c r="B19" s="28" t="s">
        <v>81</v>
      </c>
      <c r="C19" s="29"/>
      <c r="D19" s="31"/>
      <c r="E19" s="29"/>
      <c r="F19" s="40"/>
      <c r="G19" s="29">
        <v>1</v>
      </c>
      <c r="H19" s="29"/>
      <c r="I19" s="29"/>
      <c r="J19" s="29">
        <v>1</v>
      </c>
      <c r="K19" s="29"/>
      <c r="L19" s="29"/>
      <c r="M19" s="29"/>
      <c r="N19" s="29"/>
      <c r="O19" s="29"/>
      <c r="P19" s="29"/>
      <c r="Q19" s="29"/>
      <c r="R19" s="29"/>
      <c r="S19" s="32"/>
      <c r="T19" s="29"/>
      <c r="U19" s="29"/>
      <c r="V19" s="32"/>
      <c r="W19" s="29"/>
      <c r="X19" s="29"/>
      <c r="Y19" s="29"/>
      <c r="Z19" s="29"/>
      <c r="AA19" s="27">
        <v>16</v>
      </c>
      <c r="AB19" s="28" t="s">
        <v>81</v>
      </c>
      <c r="AC19" s="29"/>
      <c r="AD19" s="29"/>
      <c r="AE19" s="29"/>
      <c r="AF19" s="29"/>
      <c r="AG19" s="29"/>
      <c r="AH19" s="29"/>
      <c r="AI19" s="29"/>
      <c r="AJ19" s="42"/>
      <c r="AK19" s="29"/>
      <c r="AL19" s="29"/>
      <c r="AM19" s="29"/>
      <c r="AN19" s="29"/>
      <c r="AO19" s="29"/>
      <c r="AP19" s="29">
        <v>1</v>
      </c>
      <c r="AQ19" s="29"/>
      <c r="AR19" s="29"/>
      <c r="AS19" s="29"/>
      <c r="AT19" s="29"/>
      <c r="AU19" s="29"/>
      <c r="AV19" s="29">
        <v>1</v>
      </c>
      <c r="AW19" s="29"/>
      <c r="AX19" s="44"/>
      <c r="AY19" s="42"/>
      <c r="AZ19" s="44"/>
      <c r="BA19" s="27">
        <v>16</v>
      </c>
      <c r="BB19" s="28" t="s">
        <v>81</v>
      </c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27">
        <v>16</v>
      </c>
      <c r="CB19" s="28" t="s">
        <v>81</v>
      </c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26">
        <f t="shared" si="2"/>
        <v>0</v>
      </c>
      <c r="CY19" s="26">
        <f t="shared" si="3"/>
        <v>4</v>
      </c>
      <c r="CZ19" s="26">
        <f t="shared" si="4"/>
        <v>0</v>
      </c>
    </row>
    <row r="20" spans="1:104" ht="34.5" customHeight="1" x14ac:dyDescent="0.25">
      <c r="A20" s="27">
        <v>17</v>
      </c>
      <c r="B20" s="28" t="s">
        <v>82</v>
      </c>
      <c r="C20" s="29"/>
      <c r="D20" s="29"/>
      <c r="E20" s="29"/>
      <c r="F20" s="40">
        <f t="shared" si="0"/>
        <v>0</v>
      </c>
      <c r="G20" s="29">
        <v>1</v>
      </c>
      <c r="H20" s="29"/>
      <c r="I20" s="29"/>
      <c r="J20" s="29">
        <v>1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>
        <v>1</v>
      </c>
      <c r="W20" s="29"/>
      <c r="X20" s="29"/>
      <c r="Y20" s="29">
        <v>1</v>
      </c>
      <c r="Z20" s="29"/>
      <c r="AA20" s="27">
        <v>17</v>
      </c>
      <c r="AB20" s="28" t="s">
        <v>82</v>
      </c>
      <c r="AC20" s="29"/>
      <c r="AD20" s="29"/>
      <c r="AE20" s="29"/>
      <c r="AF20" s="29"/>
      <c r="AG20" s="29"/>
      <c r="AH20" s="29"/>
      <c r="AI20" s="29"/>
      <c r="AJ20" s="42">
        <v>1</v>
      </c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>
        <v>1</v>
      </c>
      <c r="AW20" s="29"/>
      <c r="AX20" s="44"/>
      <c r="AY20" s="42"/>
      <c r="AZ20" s="44"/>
      <c r="BA20" s="27">
        <v>17</v>
      </c>
      <c r="BB20" s="28" t="s">
        <v>82</v>
      </c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27">
        <v>17</v>
      </c>
      <c r="CB20" s="28" t="s">
        <v>82</v>
      </c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26">
        <f t="shared" si="2"/>
        <v>0</v>
      </c>
      <c r="CY20" s="26">
        <f t="shared" si="3"/>
        <v>6</v>
      </c>
      <c r="CZ20" s="26">
        <f t="shared" si="4"/>
        <v>0</v>
      </c>
    </row>
    <row r="21" spans="1:104" ht="34.5" customHeight="1" x14ac:dyDescent="0.25">
      <c r="A21" s="27">
        <v>18</v>
      </c>
      <c r="B21" s="28" t="s">
        <v>72</v>
      </c>
      <c r="C21" s="29"/>
      <c r="D21" s="29"/>
      <c r="E21" s="29"/>
      <c r="F21" s="40">
        <f t="shared" si="0"/>
        <v>0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7">
        <v>18</v>
      </c>
      <c r="AB21" s="28" t="s">
        <v>72</v>
      </c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>
        <v>1</v>
      </c>
      <c r="AW21" s="29"/>
      <c r="AX21" s="44"/>
      <c r="AY21" s="42"/>
      <c r="AZ21" s="44"/>
      <c r="BA21" s="27">
        <v>18</v>
      </c>
      <c r="BB21" s="28" t="s">
        <v>72</v>
      </c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27">
        <v>18</v>
      </c>
      <c r="CB21" s="28" t="s">
        <v>72</v>
      </c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26">
        <f t="shared" si="2"/>
        <v>0</v>
      </c>
      <c r="CY21" s="26">
        <f t="shared" si="3"/>
        <v>1</v>
      </c>
      <c r="CZ21" s="26">
        <f t="shared" si="4"/>
        <v>0</v>
      </c>
    </row>
    <row r="22" spans="1:104" ht="34.5" customHeight="1" x14ac:dyDescent="0.25">
      <c r="A22" s="27">
        <v>19</v>
      </c>
      <c r="B22" s="28" t="s">
        <v>47</v>
      </c>
      <c r="C22" s="29"/>
      <c r="D22" s="29"/>
      <c r="E22" s="29"/>
      <c r="F22" s="40">
        <f t="shared" si="0"/>
        <v>0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7">
        <v>19</v>
      </c>
      <c r="AB22" s="28" t="s">
        <v>47</v>
      </c>
      <c r="AC22" s="29"/>
      <c r="AD22" s="29">
        <v>1</v>
      </c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44"/>
      <c r="AY22" s="42"/>
      <c r="AZ22" s="44"/>
      <c r="BA22" s="27">
        <v>19</v>
      </c>
      <c r="BB22" s="28" t="s">
        <v>47</v>
      </c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27">
        <v>19</v>
      </c>
      <c r="CB22" s="28" t="s">
        <v>47</v>
      </c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26">
        <f t="shared" si="2"/>
        <v>0</v>
      </c>
      <c r="CY22" s="26">
        <f t="shared" si="3"/>
        <v>1</v>
      </c>
      <c r="CZ22" s="26">
        <f t="shared" si="4"/>
        <v>0</v>
      </c>
    </row>
    <row r="23" spans="1:104" ht="34.5" customHeight="1" x14ac:dyDescent="0.25">
      <c r="A23" s="27">
        <v>20</v>
      </c>
      <c r="B23" s="28" t="s">
        <v>4</v>
      </c>
      <c r="C23" s="29"/>
      <c r="D23" s="29"/>
      <c r="E23" s="29"/>
      <c r="F23" s="40">
        <f t="shared" si="0"/>
        <v>0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7">
        <v>20</v>
      </c>
      <c r="AB23" s="28" t="s">
        <v>4</v>
      </c>
      <c r="AC23" s="29"/>
      <c r="AD23" s="29"/>
      <c r="AE23" s="29"/>
      <c r="AF23" s="29"/>
      <c r="AG23" s="29">
        <v>1</v>
      </c>
      <c r="AH23" s="29"/>
      <c r="AI23" s="29"/>
      <c r="AJ23" s="29">
        <v>1</v>
      </c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>
        <v>1</v>
      </c>
      <c r="AW23" s="29"/>
      <c r="AX23" s="44"/>
      <c r="AY23" s="42"/>
      <c r="AZ23" s="44"/>
      <c r="BA23" s="27">
        <v>20</v>
      </c>
      <c r="BB23" s="28" t="s">
        <v>4</v>
      </c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27">
        <v>20</v>
      </c>
      <c r="CB23" s="28" t="s">
        <v>4</v>
      </c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26">
        <f t="shared" si="2"/>
        <v>0</v>
      </c>
      <c r="CY23" s="26">
        <f t="shared" si="3"/>
        <v>3</v>
      </c>
      <c r="CZ23" s="26">
        <f t="shared" si="4"/>
        <v>0</v>
      </c>
    </row>
    <row r="24" spans="1:104" ht="34.5" customHeight="1" x14ac:dyDescent="0.25">
      <c r="A24" s="27">
        <v>21</v>
      </c>
      <c r="B24" s="28" t="s">
        <v>5</v>
      </c>
      <c r="C24" s="29"/>
      <c r="D24" s="29"/>
      <c r="E24" s="29"/>
      <c r="F24" s="40">
        <f t="shared" si="0"/>
        <v>0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7">
        <v>21</v>
      </c>
      <c r="AB24" s="28" t="s">
        <v>5</v>
      </c>
      <c r="AC24" s="29"/>
      <c r="AD24" s="29"/>
      <c r="AE24" s="29"/>
      <c r="AF24" s="29"/>
      <c r="AG24" s="29">
        <v>1</v>
      </c>
      <c r="AH24" s="29"/>
      <c r="AI24" s="29"/>
      <c r="AJ24" s="29">
        <v>1</v>
      </c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>
        <v>1</v>
      </c>
      <c r="AW24" s="29"/>
      <c r="AX24" s="44"/>
      <c r="AY24" s="42"/>
      <c r="AZ24" s="44"/>
      <c r="BA24" s="27">
        <v>21</v>
      </c>
      <c r="BB24" s="28" t="s">
        <v>5</v>
      </c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27">
        <v>21</v>
      </c>
      <c r="CB24" s="28" t="s">
        <v>5</v>
      </c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26">
        <f t="shared" si="2"/>
        <v>0</v>
      </c>
      <c r="CY24" s="26">
        <f t="shared" si="3"/>
        <v>3</v>
      </c>
      <c r="CZ24" s="26">
        <f t="shared" si="4"/>
        <v>0</v>
      </c>
    </row>
    <row r="25" spans="1:104" ht="34.5" customHeight="1" x14ac:dyDescent="0.25">
      <c r="A25" s="27">
        <v>22</v>
      </c>
      <c r="B25" s="28" t="s">
        <v>6</v>
      </c>
      <c r="C25" s="29"/>
      <c r="D25" s="29"/>
      <c r="E25" s="29"/>
      <c r="F25" s="40">
        <f t="shared" si="0"/>
        <v>0</v>
      </c>
      <c r="G25" s="29"/>
      <c r="H25" s="47"/>
      <c r="I25" s="29"/>
      <c r="J25" s="29"/>
      <c r="K25" s="47"/>
      <c r="L25" s="29"/>
      <c r="M25" s="29"/>
      <c r="N25" s="47"/>
      <c r="O25" s="29"/>
      <c r="P25" s="29"/>
      <c r="Q25" s="47"/>
      <c r="R25" s="29"/>
      <c r="S25" s="29"/>
      <c r="T25" s="47"/>
      <c r="U25" s="29"/>
      <c r="V25" s="29"/>
      <c r="W25" s="47"/>
      <c r="X25" s="29"/>
      <c r="Y25" s="29"/>
      <c r="Z25" s="47"/>
      <c r="AA25" s="27">
        <v>22</v>
      </c>
      <c r="AB25" s="28" t="s">
        <v>6</v>
      </c>
      <c r="AC25" s="29"/>
      <c r="AD25" s="29"/>
      <c r="AE25" s="47"/>
      <c r="AF25" s="29"/>
      <c r="AG25" s="29"/>
      <c r="AH25" s="47"/>
      <c r="AI25" s="29"/>
      <c r="AJ25" s="29"/>
      <c r="AK25" s="47"/>
      <c r="AL25" s="29"/>
      <c r="AM25" s="29"/>
      <c r="AN25" s="47"/>
      <c r="AO25" s="29"/>
      <c r="AP25" s="29"/>
      <c r="AQ25" s="47"/>
      <c r="AR25" s="29"/>
      <c r="AS25" s="29"/>
      <c r="AT25" s="47"/>
      <c r="AU25" s="29"/>
      <c r="AV25" s="29"/>
      <c r="AW25" s="47"/>
      <c r="AX25" s="44"/>
      <c r="AY25" s="42"/>
      <c r="AZ25" s="47"/>
      <c r="BA25" s="27">
        <v>22</v>
      </c>
      <c r="BB25" s="28" t="s">
        <v>6</v>
      </c>
      <c r="BC25" s="44"/>
      <c r="BD25" s="44"/>
      <c r="BE25" s="47"/>
      <c r="BF25" s="44"/>
      <c r="BG25" s="44"/>
      <c r="BH25" s="47"/>
      <c r="BI25" s="44"/>
      <c r="BJ25" s="44"/>
      <c r="BK25" s="47"/>
      <c r="BL25" s="44"/>
      <c r="BM25" s="44"/>
      <c r="BN25" s="47"/>
      <c r="BO25" s="44"/>
      <c r="BP25" s="44"/>
      <c r="BQ25" s="47"/>
      <c r="BR25" s="44"/>
      <c r="BS25" s="44"/>
      <c r="BT25" s="47"/>
      <c r="BU25" s="44"/>
      <c r="BV25" s="44"/>
      <c r="BW25" s="47"/>
      <c r="BX25" s="44"/>
      <c r="BY25" s="44"/>
      <c r="BZ25" s="47"/>
      <c r="CA25" s="27">
        <v>22</v>
      </c>
      <c r="CB25" s="28" t="s">
        <v>6</v>
      </c>
      <c r="CC25" s="44"/>
      <c r="CD25" s="44"/>
      <c r="CE25" s="47" t="e">
        <f>#REF!</f>
        <v>#REF!</v>
      </c>
      <c r="CF25" s="44"/>
      <c r="CG25" s="44"/>
      <c r="CH25" s="47" t="e">
        <f>#REF!</f>
        <v>#REF!</v>
      </c>
      <c r="CI25" s="44"/>
      <c r="CJ25" s="44"/>
      <c r="CK25" s="47" t="e">
        <f>#REF!</f>
        <v>#REF!</v>
      </c>
      <c r="CL25" s="44"/>
      <c r="CM25" s="44"/>
      <c r="CN25" s="47" t="e">
        <f>#REF!</f>
        <v>#REF!</v>
      </c>
      <c r="CO25" s="44"/>
      <c r="CP25" s="44"/>
      <c r="CQ25" s="47" t="e">
        <f>#REF!</f>
        <v>#REF!</v>
      </c>
      <c r="CR25" s="44"/>
      <c r="CS25" s="44"/>
      <c r="CT25" s="47" t="e">
        <f>#REF!</f>
        <v>#REF!</v>
      </c>
      <c r="CU25" s="44"/>
      <c r="CV25" s="44"/>
      <c r="CW25" s="44"/>
      <c r="CX25" s="26">
        <f t="shared" si="2"/>
        <v>0</v>
      </c>
      <c r="CY25" s="26">
        <f t="shared" si="3"/>
        <v>0</v>
      </c>
      <c r="CZ25" s="26" t="e">
        <f t="shared" si="4"/>
        <v>#REF!</v>
      </c>
    </row>
    <row r="26" spans="1:104" ht="34.5" customHeight="1" x14ac:dyDescent="0.25">
      <c r="A26" s="27">
        <v>23</v>
      </c>
      <c r="B26" s="28" t="s">
        <v>7</v>
      </c>
      <c r="C26" s="29"/>
      <c r="D26" s="29"/>
      <c r="E26" s="47"/>
      <c r="F26" s="40">
        <f t="shared" si="0"/>
        <v>0</v>
      </c>
      <c r="G26" s="29"/>
      <c r="H26" s="47"/>
      <c r="I26" s="29"/>
      <c r="J26" s="29"/>
      <c r="K26" s="47"/>
      <c r="L26" s="29"/>
      <c r="M26" s="29"/>
      <c r="N26" s="47"/>
      <c r="O26" s="29"/>
      <c r="P26" s="29"/>
      <c r="Q26" s="47"/>
      <c r="R26" s="29"/>
      <c r="S26" s="29"/>
      <c r="T26" s="47"/>
      <c r="U26" s="29"/>
      <c r="V26" s="29"/>
      <c r="W26" s="47"/>
      <c r="X26" s="29"/>
      <c r="Y26" s="29"/>
      <c r="Z26" s="47"/>
      <c r="AA26" s="27">
        <v>23</v>
      </c>
      <c r="AB26" s="28" t="s">
        <v>7</v>
      </c>
      <c r="AC26" s="29"/>
      <c r="AD26" s="29"/>
      <c r="AE26" s="47"/>
      <c r="AF26" s="29"/>
      <c r="AG26" s="29"/>
      <c r="AH26" s="47"/>
      <c r="AI26" s="29"/>
      <c r="AJ26" s="29">
        <v>100</v>
      </c>
      <c r="AK26" s="47"/>
      <c r="AL26" s="29"/>
      <c r="AM26" s="29"/>
      <c r="AN26" s="47"/>
      <c r="AO26" s="29"/>
      <c r="AP26" s="29"/>
      <c r="AQ26" s="47"/>
      <c r="AR26" s="29"/>
      <c r="AS26" s="29"/>
      <c r="AT26" s="47"/>
      <c r="AU26" s="29"/>
      <c r="AV26" s="29"/>
      <c r="AW26" s="47"/>
      <c r="AX26" s="44"/>
      <c r="AY26" s="42"/>
      <c r="AZ26" s="47"/>
      <c r="BA26" s="27">
        <v>23</v>
      </c>
      <c r="BB26" s="28" t="s">
        <v>7</v>
      </c>
      <c r="BC26" s="44"/>
      <c r="BD26" s="44"/>
      <c r="BE26" s="47"/>
      <c r="BF26" s="44"/>
      <c r="BG26" s="44"/>
      <c r="BH26" s="47"/>
      <c r="BI26" s="44"/>
      <c r="BJ26" s="44"/>
      <c r="BK26" s="47"/>
      <c r="BL26" s="44"/>
      <c r="BM26" s="44"/>
      <c r="BN26" s="47"/>
      <c r="BO26" s="44"/>
      <c r="BP26" s="44"/>
      <c r="BQ26" s="47"/>
      <c r="BR26" s="44"/>
      <c r="BS26" s="44"/>
      <c r="BT26" s="47"/>
      <c r="BU26" s="44"/>
      <c r="BV26" s="44"/>
      <c r="BW26" s="47"/>
      <c r="BX26" s="44"/>
      <c r="BY26" s="44"/>
      <c r="BZ26" s="47"/>
      <c r="CA26" s="27">
        <v>23</v>
      </c>
      <c r="CB26" s="28" t="s">
        <v>7</v>
      </c>
      <c r="CC26" s="44"/>
      <c r="CD26" s="44"/>
      <c r="CE26" s="47" t="e">
        <f>#REF!</f>
        <v>#REF!</v>
      </c>
      <c r="CF26" s="44"/>
      <c r="CG26" s="44"/>
      <c r="CH26" s="47" t="e">
        <f>#REF!</f>
        <v>#REF!</v>
      </c>
      <c r="CI26" s="44"/>
      <c r="CJ26" s="44"/>
      <c r="CK26" s="47" t="e">
        <f>#REF!</f>
        <v>#REF!</v>
      </c>
      <c r="CL26" s="44"/>
      <c r="CM26" s="44"/>
      <c r="CN26" s="47" t="e">
        <f>#REF!</f>
        <v>#REF!</v>
      </c>
      <c r="CO26" s="44"/>
      <c r="CP26" s="44"/>
      <c r="CQ26" s="47" t="e">
        <f>#REF!</f>
        <v>#REF!</v>
      </c>
      <c r="CR26" s="44"/>
      <c r="CS26" s="44"/>
      <c r="CT26" s="47" t="e">
        <f>#REF!</f>
        <v>#REF!</v>
      </c>
      <c r="CU26" s="44"/>
      <c r="CV26" s="44"/>
      <c r="CW26" s="44"/>
      <c r="CX26" s="26">
        <f t="shared" si="2"/>
        <v>0</v>
      </c>
      <c r="CY26" s="26">
        <f t="shared" si="3"/>
        <v>100</v>
      </c>
      <c r="CZ26" s="26" t="e">
        <f t="shared" si="4"/>
        <v>#REF!</v>
      </c>
    </row>
    <row r="27" spans="1:104" ht="34.5" customHeight="1" x14ac:dyDescent="0.25">
      <c r="A27" s="27">
        <v>24</v>
      </c>
      <c r="B27" s="28" t="s">
        <v>2</v>
      </c>
      <c r="C27" s="29"/>
      <c r="D27" s="29"/>
      <c r="E27" s="29"/>
      <c r="F27" s="40">
        <f t="shared" si="0"/>
        <v>0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7">
        <v>24</v>
      </c>
      <c r="AB27" s="28" t="s">
        <v>2</v>
      </c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44"/>
      <c r="AY27" s="42"/>
      <c r="AZ27" s="44"/>
      <c r="BA27" s="27">
        <v>24</v>
      </c>
      <c r="BB27" s="28" t="s">
        <v>2</v>
      </c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27">
        <v>24</v>
      </c>
      <c r="CB27" s="28" t="s">
        <v>2</v>
      </c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26">
        <f t="shared" si="2"/>
        <v>0</v>
      </c>
      <c r="CY27" s="26">
        <f t="shared" si="3"/>
        <v>0</v>
      </c>
      <c r="CZ27" s="26">
        <f t="shared" si="4"/>
        <v>0</v>
      </c>
    </row>
    <row r="28" spans="1:104" ht="34.5" customHeight="1" x14ac:dyDescent="0.25">
      <c r="A28" s="27">
        <v>25</v>
      </c>
      <c r="B28" s="28" t="s">
        <v>15</v>
      </c>
      <c r="C28" s="29"/>
      <c r="D28" s="29"/>
      <c r="E28" s="29"/>
      <c r="F28" s="40">
        <f t="shared" si="0"/>
        <v>0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7">
        <v>25</v>
      </c>
      <c r="AB28" s="28" t="s">
        <v>15</v>
      </c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44"/>
      <c r="AY28" s="42"/>
      <c r="AZ28" s="44"/>
      <c r="BA28" s="27">
        <v>25</v>
      </c>
      <c r="BB28" s="28" t="s">
        <v>15</v>
      </c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27">
        <v>25</v>
      </c>
      <c r="CB28" s="28" t="s">
        <v>15</v>
      </c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26">
        <f t="shared" si="2"/>
        <v>0</v>
      </c>
      <c r="CY28" s="26">
        <f t="shared" si="3"/>
        <v>0</v>
      </c>
      <c r="CZ28" s="26">
        <f t="shared" si="4"/>
        <v>0</v>
      </c>
    </row>
    <row r="29" spans="1:104" ht="34.5" customHeight="1" x14ac:dyDescent="0.25">
      <c r="A29" s="27">
        <v>26</v>
      </c>
      <c r="B29" s="28" t="s">
        <v>16</v>
      </c>
      <c r="C29" s="29"/>
      <c r="D29" s="29"/>
      <c r="E29" s="29"/>
      <c r="F29" s="40">
        <f t="shared" si="0"/>
        <v>0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7">
        <v>26</v>
      </c>
      <c r="AB29" s="28" t="s">
        <v>16</v>
      </c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44"/>
      <c r="AY29" s="42"/>
      <c r="AZ29" s="44"/>
      <c r="BA29" s="27">
        <v>26</v>
      </c>
      <c r="BB29" s="28" t="s">
        <v>16</v>
      </c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27">
        <v>26</v>
      </c>
      <c r="CB29" s="28" t="s">
        <v>16</v>
      </c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26">
        <f t="shared" si="2"/>
        <v>0</v>
      </c>
      <c r="CY29" s="26">
        <f t="shared" si="3"/>
        <v>0</v>
      </c>
      <c r="CZ29" s="26">
        <f t="shared" si="4"/>
        <v>0</v>
      </c>
    </row>
    <row r="30" spans="1:104" ht="34.5" customHeight="1" x14ac:dyDescent="0.25">
      <c r="A30" s="27">
        <v>27</v>
      </c>
      <c r="B30" s="28" t="s">
        <v>73</v>
      </c>
      <c r="C30" s="29"/>
      <c r="D30" s="33"/>
      <c r="E30" s="29"/>
      <c r="F30" s="45">
        <f t="shared" si="0"/>
        <v>0</v>
      </c>
      <c r="G30" s="29"/>
      <c r="H30" s="29"/>
      <c r="I30" s="29"/>
      <c r="J30" s="29">
        <v>1</v>
      </c>
      <c r="K30" s="29"/>
      <c r="L30" s="29"/>
      <c r="M30" s="29"/>
      <c r="N30" s="29"/>
      <c r="O30" s="29"/>
      <c r="P30" s="29"/>
      <c r="Q30" s="29"/>
      <c r="R30" s="29"/>
      <c r="S30" s="29">
        <v>1</v>
      </c>
      <c r="T30" s="29"/>
      <c r="U30" s="29"/>
      <c r="V30" s="29"/>
      <c r="W30" s="29"/>
      <c r="X30" s="29"/>
      <c r="Y30" s="29"/>
      <c r="Z30" s="29"/>
      <c r="AA30" s="27">
        <v>27</v>
      </c>
      <c r="AB30" s="28" t="s">
        <v>73</v>
      </c>
      <c r="AC30" s="29"/>
      <c r="AD30" s="29">
        <v>500</v>
      </c>
      <c r="AE30" s="29"/>
      <c r="AF30" s="29"/>
      <c r="AG30" s="29"/>
      <c r="AH30" s="29"/>
      <c r="AI30" s="29"/>
      <c r="AJ30" s="29">
        <v>500</v>
      </c>
      <c r="AK30" s="29"/>
      <c r="AL30" s="29"/>
      <c r="AM30" s="29"/>
      <c r="AN30" s="29"/>
      <c r="AO30" s="29"/>
      <c r="AP30" s="29">
        <v>500</v>
      </c>
      <c r="AQ30" s="29"/>
      <c r="AR30" s="29"/>
      <c r="AS30" s="29"/>
      <c r="AT30" s="29"/>
      <c r="AU30" s="29"/>
      <c r="AV30" s="29">
        <v>500</v>
      </c>
      <c r="AW30" s="29"/>
      <c r="AX30" s="44"/>
      <c r="AY30" s="42">
        <v>500</v>
      </c>
      <c r="AZ30" s="44"/>
      <c r="BA30" s="27">
        <v>27</v>
      </c>
      <c r="BB30" s="28" t="s">
        <v>73</v>
      </c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27">
        <v>27</v>
      </c>
      <c r="CB30" s="28" t="s">
        <v>73</v>
      </c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26">
        <f t="shared" si="2"/>
        <v>0</v>
      </c>
      <c r="CY30" s="26">
        <f t="shared" si="3"/>
        <v>2502</v>
      </c>
      <c r="CZ30" s="26">
        <f t="shared" si="4"/>
        <v>0</v>
      </c>
    </row>
    <row r="31" spans="1:104" ht="34.5" customHeight="1" x14ac:dyDescent="0.25">
      <c r="A31" s="27">
        <v>28</v>
      </c>
      <c r="B31" s="28" t="s">
        <v>19</v>
      </c>
      <c r="C31" s="29"/>
      <c r="D31" s="29"/>
      <c r="E31" s="29"/>
      <c r="F31" s="40">
        <f t="shared" si="0"/>
        <v>0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>
        <v>1</v>
      </c>
      <c r="Z31" s="29"/>
      <c r="AA31" s="27">
        <v>28</v>
      </c>
      <c r="AB31" s="28" t="s">
        <v>19</v>
      </c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44"/>
      <c r="AY31" s="42"/>
      <c r="AZ31" s="44"/>
      <c r="BA31" s="27">
        <v>28</v>
      </c>
      <c r="BB31" s="28" t="s">
        <v>19</v>
      </c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27">
        <v>28</v>
      </c>
      <c r="CB31" s="28" t="s">
        <v>19</v>
      </c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26">
        <f t="shared" si="2"/>
        <v>0</v>
      </c>
      <c r="CY31" s="26">
        <f t="shared" si="3"/>
        <v>1</v>
      </c>
      <c r="CZ31" s="26">
        <f t="shared" si="4"/>
        <v>0</v>
      </c>
    </row>
    <row r="32" spans="1:104" ht="34.5" customHeight="1" x14ac:dyDescent="0.25">
      <c r="A32" s="27">
        <v>29</v>
      </c>
      <c r="B32" s="28" t="s">
        <v>20</v>
      </c>
      <c r="C32" s="29"/>
      <c r="D32" s="29"/>
      <c r="E32" s="29"/>
      <c r="F32" s="40">
        <f t="shared" si="0"/>
        <v>0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7">
        <v>29</v>
      </c>
      <c r="AB32" s="28" t="s">
        <v>20</v>
      </c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44"/>
      <c r="AY32" s="42"/>
      <c r="AZ32" s="44"/>
      <c r="BA32" s="27">
        <v>29</v>
      </c>
      <c r="BB32" s="28" t="s">
        <v>20</v>
      </c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27">
        <v>29</v>
      </c>
      <c r="CB32" s="28" t="s">
        <v>20</v>
      </c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26">
        <f t="shared" si="2"/>
        <v>0</v>
      </c>
      <c r="CY32" s="26">
        <f t="shared" si="3"/>
        <v>0</v>
      </c>
      <c r="CZ32" s="26">
        <f t="shared" si="4"/>
        <v>0</v>
      </c>
    </row>
    <row r="33" spans="1:104" ht="34.5" customHeight="1" x14ac:dyDescent="0.25">
      <c r="A33" s="27">
        <v>30</v>
      </c>
      <c r="B33" s="28" t="s">
        <v>21</v>
      </c>
      <c r="C33" s="29"/>
      <c r="D33" s="29"/>
      <c r="E33" s="29"/>
      <c r="F33" s="40">
        <f t="shared" si="0"/>
        <v>0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7">
        <v>30</v>
      </c>
      <c r="AB33" s="28" t="s">
        <v>21</v>
      </c>
      <c r="AC33" s="29"/>
      <c r="AD33" s="29"/>
      <c r="AE33" s="29"/>
      <c r="AF33" s="29"/>
      <c r="AG33" s="29"/>
      <c r="AH33" s="29"/>
      <c r="AI33" s="29"/>
      <c r="AJ33" s="29">
        <v>1</v>
      </c>
      <c r="AK33" s="29"/>
      <c r="AL33" s="29"/>
      <c r="AM33" s="29"/>
      <c r="AN33" s="29"/>
      <c r="AO33" s="29"/>
      <c r="AP33" s="29"/>
      <c r="AQ33" s="29"/>
      <c r="AR33" s="29"/>
      <c r="AS33" s="29">
        <v>1</v>
      </c>
      <c r="AT33" s="29"/>
      <c r="AU33" s="29"/>
      <c r="AV33" s="29"/>
      <c r="AW33" s="29"/>
      <c r="AX33" s="44"/>
      <c r="AY33" s="42"/>
      <c r="AZ33" s="44"/>
      <c r="BA33" s="27">
        <v>30</v>
      </c>
      <c r="BB33" s="28" t="s">
        <v>21</v>
      </c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27">
        <v>30</v>
      </c>
      <c r="CB33" s="28" t="s">
        <v>21</v>
      </c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26">
        <f t="shared" si="2"/>
        <v>0</v>
      </c>
      <c r="CY33" s="26">
        <f t="shared" si="3"/>
        <v>2</v>
      </c>
      <c r="CZ33" s="26">
        <f t="shared" si="4"/>
        <v>0</v>
      </c>
    </row>
    <row r="34" spans="1:104" ht="34.5" customHeight="1" x14ac:dyDescent="0.25">
      <c r="A34" s="27">
        <v>31</v>
      </c>
      <c r="B34" s="28" t="s">
        <v>22</v>
      </c>
      <c r="C34" s="29"/>
      <c r="D34" s="29"/>
      <c r="E34" s="29"/>
      <c r="F34" s="40">
        <f t="shared" si="0"/>
        <v>0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>
        <v>1</v>
      </c>
      <c r="Z34" s="29"/>
      <c r="AA34" s="27">
        <v>31</v>
      </c>
      <c r="AB34" s="28" t="s">
        <v>22</v>
      </c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44"/>
      <c r="AY34" s="42"/>
      <c r="AZ34" s="44"/>
      <c r="BA34" s="27">
        <v>31</v>
      </c>
      <c r="BB34" s="28" t="s">
        <v>22</v>
      </c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27">
        <v>31</v>
      </c>
      <c r="CB34" s="28" t="s">
        <v>22</v>
      </c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26">
        <f t="shared" si="2"/>
        <v>0</v>
      </c>
      <c r="CY34" s="26">
        <f t="shared" si="3"/>
        <v>1</v>
      </c>
      <c r="CZ34" s="26">
        <f t="shared" si="4"/>
        <v>0</v>
      </c>
    </row>
    <row r="35" spans="1:104" ht="34.5" customHeight="1" x14ac:dyDescent="0.25">
      <c r="A35" s="27">
        <v>32</v>
      </c>
      <c r="B35" s="28" t="s">
        <v>37</v>
      </c>
      <c r="C35" s="29"/>
      <c r="D35" s="29"/>
      <c r="E35" s="29"/>
      <c r="F35" s="40">
        <f t="shared" si="0"/>
        <v>0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7">
        <v>32</v>
      </c>
      <c r="AB35" s="28" t="s">
        <v>37</v>
      </c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44"/>
      <c r="AY35" s="42"/>
      <c r="AZ35" s="44"/>
      <c r="BA35" s="27">
        <v>32</v>
      </c>
      <c r="BB35" s="28" t="s">
        <v>37</v>
      </c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27">
        <v>32</v>
      </c>
      <c r="CB35" s="28" t="s">
        <v>37</v>
      </c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26">
        <f t="shared" si="2"/>
        <v>0</v>
      </c>
      <c r="CY35" s="26">
        <f t="shared" si="3"/>
        <v>0</v>
      </c>
      <c r="CZ35" s="26">
        <f t="shared" si="4"/>
        <v>0</v>
      </c>
    </row>
    <row r="36" spans="1:104" ht="34.5" customHeight="1" x14ac:dyDescent="0.25">
      <c r="A36" s="27">
        <v>33</v>
      </c>
      <c r="B36" s="28" t="s">
        <v>36</v>
      </c>
      <c r="C36" s="29"/>
      <c r="D36" s="29"/>
      <c r="E36" s="29"/>
      <c r="F36" s="40">
        <f t="shared" si="0"/>
        <v>0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>
        <v>1</v>
      </c>
      <c r="Z36" s="29"/>
      <c r="AA36" s="27">
        <v>33</v>
      </c>
      <c r="AB36" s="28" t="s">
        <v>36</v>
      </c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>
        <v>1</v>
      </c>
      <c r="AQ36" s="29"/>
      <c r="AR36" s="29"/>
      <c r="AS36" s="29"/>
      <c r="AT36" s="29"/>
      <c r="AU36" s="29"/>
      <c r="AV36" s="29"/>
      <c r="AW36" s="29"/>
      <c r="AX36" s="44"/>
      <c r="AY36" s="42"/>
      <c r="AZ36" s="44"/>
      <c r="BA36" s="27">
        <v>33</v>
      </c>
      <c r="BB36" s="28" t="s">
        <v>36</v>
      </c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27">
        <v>33</v>
      </c>
      <c r="CB36" s="28" t="s">
        <v>36</v>
      </c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26">
        <f t="shared" si="2"/>
        <v>0</v>
      </c>
      <c r="CY36" s="26">
        <f t="shared" si="3"/>
        <v>2</v>
      </c>
      <c r="CZ36" s="26">
        <f t="shared" si="4"/>
        <v>0</v>
      </c>
    </row>
    <row r="37" spans="1:104" ht="34.5" customHeight="1" x14ac:dyDescent="0.25">
      <c r="A37" s="27">
        <v>34</v>
      </c>
      <c r="B37" s="28" t="s">
        <v>35</v>
      </c>
      <c r="C37" s="29"/>
      <c r="D37" s="29"/>
      <c r="E37" s="29"/>
      <c r="F37" s="40">
        <f t="shared" si="0"/>
        <v>0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7">
        <v>34</v>
      </c>
      <c r="AB37" s="28" t="s">
        <v>35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44"/>
      <c r="AY37" s="42"/>
      <c r="AZ37" s="44"/>
      <c r="BA37" s="27">
        <v>34</v>
      </c>
      <c r="BB37" s="28" t="s">
        <v>35</v>
      </c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27">
        <v>34</v>
      </c>
      <c r="CB37" s="28" t="s">
        <v>35</v>
      </c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26">
        <f t="shared" si="2"/>
        <v>0</v>
      </c>
      <c r="CY37" s="26">
        <f t="shared" si="3"/>
        <v>0</v>
      </c>
      <c r="CZ37" s="26">
        <f t="shared" si="4"/>
        <v>0</v>
      </c>
    </row>
    <row r="38" spans="1:104" ht="34.5" customHeight="1" x14ac:dyDescent="0.25">
      <c r="A38" s="27">
        <v>35</v>
      </c>
      <c r="B38" s="28" t="s">
        <v>40</v>
      </c>
      <c r="C38" s="29"/>
      <c r="D38" s="29"/>
      <c r="E38" s="29"/>
      <c r="F38" s="40">
        <f t="shared" si="0"/>
        <v>0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>
        <v>1</v>
      </c>
      <c r="T38" s="29"/>
      <c r="U38" s="29"/>
      <c r="V38" s="29"/>
      <c r="W38" s="29"/>
      <c r="X38" s="29"/>
      <c r="Y38" s="29"/>
      <c r="Z38" s="29"/>
      <c r="AA38" s="27">
        <v>35</v>
      </c>
      <c r="AB38" s="28" t="s">
        <v>40</v>
      </c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44"/>
      <c r="AY38" s="42"/>
      <c r="AZ38" s="44"/>
      <c r="BA38" s="27">
        <v>35</v>
      </c>
      <c r="BB38" s="28" t="s">
        <v>40</v>
      </c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27">
        <v>35</v>
      </c>
      <c r="CB38" s="28" t="s">
        <v>40</v>
      </c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26">
        <f t="shared" si="2"/>
        <v>0</v>
      </c>
      <c r="CY38" s="26">
        <f t="shared" si="3"/>
        <v>1</v>
      </c>
      <c r="CZ38" s="26">
        <f t="shared" si="4"/>
        <v>0</v>
      </c>
    </row>
    <row r="39" spans="1:104" ht="34.5" customHeight="1" x14ac:dyDescent="0.25">
      <c r="A39" s="27">
        <v>36</v>
      </c>
      <c r="B39" s="28" t="s">
        <v>24</v>
      </c>
      <c r="C39" s="29"/>
      <c r="D39" s="29">
        <v>300</v>
      </c>
      <c r="E39" s="29"/>
      <c r="F39" s="40">
        <f t="shared" si="0"/>
        <v>300</v>
      </c>
      <c r="G39" s="29">
        <v>600</v>
      </c>
      <c r="H39" s="29"/>
      <c r="I39" s="29"/>
      <c r="J39" s="29">
        <v>400</v>
      </c>
      <c r="K39" s="29"/>
      <c r="L39" s="29"/>
      <c r="M39" s="29"/>
      <c r="N39" s="29"/>
      <c r="O39" s="29"/>
      <c r="P39" s="29"/>
      <c r="Q39" s="29"/>
      <c r="R39" s="29"/>
      <c r="S39" s="29">
        <v>300</v>
      </c>
      <c r="T39" s="29"/>
      <c r="U39" s="29"/>
      <c r="V39" s="29">
        <v>400</v>
      </c>
      <c r="W39" s="29"/>
      <c r="X39" s="29"/>
      <c r="Y39" s="29">
        <v>400</v>
      </c>
      <c r="Z39" s="29"/>
      <c r="AA39" s="27">
        <v>36</v>
      </c>
      <c r="AB39" s="28" t="s">
        <v>24</v>
      </c>
      <c r="AC39" s="29"/>
      <c r="AD39" s="29">
        <v>600</v>
      </c>
      <c r="AE39" s="29"/>
      <c r="AF39" s="29"/>
      <c r="AG39" s="29"/>
      <c r="AH39" s="29"/>
      <c r="AI39" s="29"/>
      <c r="AJ39" s="29">
        <v>600</v>
      </c>
      <c r="AK39" s="29"/>
      <c r="AL39" s="29"/>
      <c r="AM39" s="29"/>
      <c r="AN39" s="29"/>
      <c r="AO39" s="29"/>
      <c r="AP39" s="29">
        <v>400</v>
      </c>
      <c r="AQ39" s="29"/>
      <c r="AR39" s="29"/>
      <c r="AS39" s="29">
        <v>400</v>
      </c>
      <c r="AT39" s="29"/>
      <c r="AU39" s="29"/>
      <c r="AV39" s="29">
        <v>300</v>
      </c>
      <c r="AW39" s="29"/>
      <c r="AX39" s="44"/>
      <c r="AY39" s="42">
        <v>600</v>
      </c>
      <c r="AZ39" s="44"/>
      <c r="BA39" s="27">
        <v>36</v>
      </c>
      <c r="BB39" s="28" t="s">
        <v>24</v>
      </c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27">
        <v>36</v>
      </c>
      <c r="CB39" s="28" t="s">
        <v>24</v>
      </c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26">
        <f t="shared" si="2"/>
        <v>300</v>
      </c>
      <c r="CY39" s="26">
        <f t="shared" si="3"/>
        <v>5300</v>
      </c>
      <c r="CZ39" s="26">
        <f t="shared" si="4"/>
        <v>0</v>
      </c>
    </row>
    <row r="40" spans="1:104" ht="34.5" customHeight="1" x14ac:dyDescent="0.25">
      <c r="A40" s="27">
        <v>37</v>
      </c>
      <c r="B40" s="28" t="s">
        <v>25</v>
      </c>
      <c r="C40" s="29"/>
      <c r="D40" s="29">
        <v>200</v>
      </c>
      <c r="E40" s="29"/>
      <c r="F40" s="40">
        <f t="shared" si="0"/>
        <v>200</v>
      </c>
      <c r="G40" s="29">
        <v>500</v>
      </c>
      <c r="H40" s="29"/>
      <c r="I40" s="29"/>
      <c r="J40" s="29">
        <v>300</v>
      </c>
      <c r="K40" s="29"/>
      <c r="L40" s="29"/>
      <c r="M40" s="29"/>
      <c r="N40" s="29"/>
      <c r="O40" s="29"/>
      <c r="P40" s="29"/>
      <c r="Q40" s="29"/>
      <c r="R40" s="29"/>
      <c r="S40" s="29">
        <v>200</v>
      </c>
      <c r="T40" s="29"/>
      <c r="U40" s="29"/>
      <c r="V40" s="29">
        <v>300</v>
      </c>
      <c r="W40" s="29"/>
      <c r="X40" s="29"/>
      <c r="Y40" s="29">
        <v>300</v>
      </c>
      <c r="Z40" s="29"/>
      <c r="AA40" s="27">
        <v>37</v>
      </c>
      <c r="AB40" s="28" t="s">
        <v>25</v>
      </c>
      <c r="AC40" s="29"/>
      <c r="AD40" s="29">
        <v>500</v>
      </c>
      <c r="AE40" s="29"/>
      <c r="AF40" s="29"/>
      <c r="AG40" s="29"/>
      <c r="AH40" s="29"/>
      <c r="AI40" s="29"/>
      <c r="AJ40" s="29">
        <v>400</v>
      </c>
      <c r="AK40" s="29"/>
      <c r="AL40" s="29"/>
      <c r="AM40" s="29"/>
      <c r="AN40" s="29"/>
      <c r="AO40" s="29"/>
      <c r="AP40" s="29">
        <v>300</v>
      </c>
      <c r="AQ40" s="29"/>
      <c r="AR40" s="29"/>
      <c r="AS40" s="29">
        <v>300</v>
      </c>
      <c r="AT40" s="29"/>
      <c r="AU40" s="29"/>
      <c r="AV40" s="29">
        <v>300</v>
      </c>
      <c r="AW40" s="29"/>
      <c r="AX40" s="44"/>
      <c r="AY40" s="42">
        <v>600</v>
      </c>
      <c r="AZ40" s="44"/>
      <c r="BA40" s="27">
        <v>37</v>
      </c>
      <c r="BB40" s="28" t="s">
        <v>25</v>
      </c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27">
        <v>37</v>
      </c>
      <c r="CB40" s="28" t="s">
        <v>25</v>
      </c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26">
        <f t="shared" si="2"/>
        <v>200</v>
      </c>
      <c r="CY40" s="26">
        <f t="shared" si="3"/>
        <v>4200</v>
      </c>
      <c r="CZ40" s="26">
        <f t="shared" si="4"/>
        <v>0</v>
      </c>
    </row>
    <row r="41" spans="1:104" ht="34.5" customHeight="1" x14ac:dyDescent="0.25">
      <c r="A41" s="27">
        <v>38</v>
      </c>
      <c r="B41" s="28" t="s">
        <v>26</v>
      </c>
      <c r="C41" s="29"/>
      <c r="D41" s="29">
        <v>200</v>
      </c>
      <c r="E41" s="29"/>
      <c r="F41" s="40">
        <f t="shared" si="0"/>
        <v>200</v>
      </c>
      <c r="G41" s="29"/>
      <c r="H41" s="29"/>
      <c r="I41" s="29"/>
      <c r="J41" s="29">
        <v>200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7">
        <v>38</v>
      </c>
      <c r="AB41" s="28" t="s">
        <v>26</v>
      </c>
      <c r="AC41" s="29"/>
      <c r="AD41" s="29"/>
      <c r="AE41" s="29"/>
      <c r="AF41" s="29"/>
      <c r="AG41" s="29"/>
      <c r="AH41" s="29"/>
      <c r="AI41" s="29"/>
      <c r="AJ41" s="29">
        <v>200</v>
      </c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44"/>
      <c r="AY41" s="42">
        <v>200</v>
      </c>
      <c r="AZ41" s="44"/>
      <c r="BA41" s="27">
        <v>38</v>
      </c>
      <c r="BB41" s="28" t="s">
        <v>26</v>
      </c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27">
        <v>38</v>
      </c>
      <c r="CB41" s="28" t="s">
        <v>26</v>
      </c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26">
        <f t="shared" si="2"/>
        <v>200</v>
      </c>
      <c r="CY41" s="26">
        <f t="shared" si="3"/>
        <v>800</v>
      </c>
      <c r="CZ41" s="26">
        <f t="shared" si="4"/>
        <v>0</v>
      </c>
    </row>
    <row r="42" spans="1:104" ht="34.5" customHeight="1" x14ac:dyDescent="0.25">
      <c r="A42" s="27">
        <v>39</v>
      </c>
      <c r="B42" s="28" t="s">
        <v>41</v>
      </c>
      <c r="C42" s="29"/>
      <c r="D42" s="29">
        <v>1</v>
      </c>
      <c r="E42" s="29"/>
      <c r="F42" s="40">
        <f t="shared" si="0"/>
        <v>1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>
        <v>100</v>
      </c>
      <c r="W42" s="29"/>
      <c r="X42" s="29"/>
      <c r="Y42" s="29"/>
      <c r="Z42" s="29"/>
      <c r="AA42" s="27">
        <v>39</v>
      </c>
      <c r="AB42" s="28" t="s">
        <v>41</v>
      </c>
      <c r="AC42" s="29"/>
      <c r="AD42" s="29"/>
      <c r="AE42" s="29"/>
      <c r="AF42" s="29"/>
      <c r="AG42" s="29"/>
      <c r="AH42" s="29"/>
      <c r="AI42" s="29"/>
      <c r="AJ42" s="42"/>
      <c r="AK42" s="29"/>
      <c r="AL42" s="29"/>
      <c r="AM42" s="29"/>
      <c r="AN42" s="29"/>
      <c r="AO42" s="29"/>
      <c r="AP42" s="29">
        <v>100</v>
      </c>
      <c r="AQ42" s="29"/>
      <c r="AR42" s="29"/>
      <c r="AS42" s="29"/>
      <c r="AT42" s="29"/>
      <c r="AU42" s="29"/>
      <c r="AV42" s="29"/>
      <c r="AW42" s="29"/>
      <c r="AX42" s="44"/>
      <c r="AY42" s="42">
        <v>100</v>
      </c>
      <c r="AZ42" s="44"/>
      <c r="BA42" s="27">
        <v>39</v>
      </c>
      <c r="BB42" s="28" t="s">
        <v>41</v>
      </c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27">
        <v>39</v>
      </c>
      <c r="CB42" s="28" t="s">
        <v>41</v>
      </c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26">
        <f t="shared" si="2"/>
        <v>1</v>
      </c>
      <c r="CY42" s="26">
        <f t="shared" si="3"/>
        <v>301</v>
      </c>
      <c r="CZ42" s="26">
        <f t="shared" si="4"/>
        <v>0</v>
      </c>
    </row>
    <row r="43" spans="1:104" s="25" customFormat="1" ht="34.5" customHeight="1" x14ac:dyDescent="0.25">
      <c r="A43" s="27">
        <v>40</v>
      </c>
      <c r="B43" s="28" t="s">
        <v>48</v>
      </c>
      <c r="C43" s="29"/>
      <c r="D43" s="29"/>
      <c r="E43" s="29"/>
      <c r="F43" s="40">
        <f t="shared" si="0"/>
        <v>0</v>
      </c>
      <c r="G43" s="29">
        <v>100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>
        <v>200</v>
      </c>
      <c r="W43" s="29"/>
      <c r="X43" s="29"/>
      <c r="Y43" s="29"/>
      <c r="Z43" s="29"/>
      <c r="AA43" s="27">
        <v>40</v>
      </c>
      <c r="AB43" s="28" t="s">
        <v>48</v>
      </c>
      <c r="AC43" s="29"/>
      <c r="AD43" s="29"/>
      <c r="AE43" s="29"/>
      <c r="AF43" s="29"/>
      <c r="AG43" s="29"/>
      <c r="AH43" s="29"/>
      <c r="AI43" s="29"/>
      <c r="AJ43" s="29">
        <v>100</v>
      </c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44"/>
      <c r="AY43" s="42">
        <v>100</v>
      </c>
      <c r="AZ43" s="44"/>
      <c r="BA43" s="27">
        <v>40</v>
      </c>
      <c r="BB43" s="28" t="s">
        <v>48</v>
      </c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27">
        <v>40</v>
      </c>
      <c r="CB43" s="28" t="s">
        <v>48</v>
      </c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26">
        <f t="shared" si="2"/>
        <v>0</v>
      </c>
      <c r="CY43" s="26">
        <f t="shared" si="3"/>
        <v>500</v>
      </c>
      <c r="CZ43" s="26">
        <f t="shared" si="4"/>
        <v>0</v>
      </c>
    </row>
    <row r="44" spans="1:104" ht="34.5" customHeight="1" x14ac:dyDescent="0.25">
      <c r="A44" s="27">
        <v>41</v>
      </c>
      <c r="B44" s="28" t="s">
        <v>74</v>
      </c>
      <c r="C44" s="29"/>
      <c r="D44" s="29"/>
      <c r="E44" s="29"/>
      <c r="F44" s="40">
        <f t="shared" si="0"/>
        <v>0</v>
      </c>
      <c r="G44" s="29">
        <v>600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>
        <v>600</v>
      </c>
      <c r="T44" s="29"/>
      <c r="U44" s="29"/>
      <c r="V44" s="29">
        <v>600</v>
      </c>
      <c r="W44" s="29"/>
      <c r="X44" s="29"/>
      <c r="Y44" s="29"/>
      <c r="Z44" s="29"/>
      <c r="AA44" s="27">
        <v>41</v>
      </c>
      <c r="AB44" s="28" t="s">
        <v>74</v>
      </c>
      <c r="AC44" s="29"/>
      <c r="AD44" s="29">
        <v>600</v>
      </c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>
        <v>600</v>
      </c>
      <c r="AQ44" s="29"/>
      <c r="AR44" s="29"/>
      <c r="AS44" s="29"/>
      <c r="AT44" s="29"/>
      <c r="AU44" s="29"/>
      <c r="AV44" s="29">
        <v>600</v>
      </c>
      <c r="AW44" s="29"/>
      <c r="AX44" s="44"/>
      <c r="AY44" s="42"/>
      <c r="AZ44" s="44"/>
      <c r="BA44" s="27">
        <v>41</v>
      </c>
      <c r="BB44" s="28" t="s">
        <v>74</v>
      </c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27">
        <v>41</v>
      </c>
      <c r="CB44" s="28" t="s">
        <v>74</v>
      </c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26">
        <f t="shared" si="2"/>
        <v>0</v>
      </c>
      <c r="CY44" s="26">
        <f t="shared" si="3"/>
        <v>3600</v>
      </c>
      <c r="CZ44" s="26">
        <f t="shared" si="4"/>
        <v>0</v>
      </c>
    </row>
    <row r="45" spans="1:104" ht="34.5" customHeight="1" x14ac:dyDescent="0.25">
      <c r="A45" s="27">
        <v>42</v>
      </c>
      <c r="B45" s="28" t="s">
        <v>42</v>
      </c>
      <c r="C45" s="29"/>
      <c r="D45" s="29">
        <v>1</v>
      </c>
      <c r="E45" s="29"/>
      <c r="F45" s="40">
        <f t="shared" si="0"/>
        <v>1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7">
        <v>42</v>
      </c>
      <c r="AB45" s="28" t="s">
        <v>42</v>
      </c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>
        <v>5</v>
      </c>
      <c r="AW45" s="29"/>
      <c r="AX45" s="44"/>
      <c r="AY45" s="42"/>
      <c r="AZ45" s="44"/>
      <c r="BA45" s="27">
        <v>42</v>
      </c>
      <c r="BB45" s="28" t="s">
        <v>42</v>
      </c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27">
        <v>42</v>
      </c>
      <c r="CB45" s="28" t="s">
        <v>42</v>
      </c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26">
        <f t="shared" si="2"/>
        <v>1</v>
      </c>
      <c r="CY45" s="26">
        <f t="shared" si="3"/>
        <v>6</v>
      </c>
      <c r="CZ45" s="26">
        <f t="shared" si="4"/>
        <v>0</v>
      </c>
    </row>
    <row r="46" spans="1:104" ht="34.5" customHeight="1" x14ac:dyDescent="0.25">
      <c r="A46" s="27">
        <v>43</v>
      </c>
      <c r="B46" s="28" t="s">
        <v>77</v>
      </c>
      <c r="C46" s="29"/>
      <c r="D46" s="29"/>
      <c r="E46" s="29"/>
      <c r="F46" s="40">
        <f t="shared" si="0"/>
        <v>0</v>
      </c>
      <c r="G46" s="29">
        <v>8</v>
      </c>
      <c r="H46" s="29"/>
      <c r="I46" s="29"/>
      <c r="J46" s="29">
        <v>8</v>
      </c>
      <c r="K46" s="29"/>
      <c r="L46" s="29"/>
      <c r="M46" s="29"/>
      <c r="N46" s="29"/>
      <c r="O46" s="29"/>
      <c r="P46" s="29"/>
      <c r="Q46" s="29"/>
      <c r="R46" s="29"/>
      <c r="S46" s="29">
        <v>6</v>
      </c>
      <c r="T46" s="29"/>
      <c r="U46" s="29"/>
      <c r="V46" s="29"/>
      <c r="W46" s="29"/>
      <c r="X46" s="29"/>
      <c r="Y46" s="29"/>
      <c r="Z46" s="29"/>
      <c r="AA46" s="27">
        <v>43</v>
      </c>
      <c r="AB46" s="28" t="s">
        <v>77</v>
      </c>
      <c r="AC46" s="29"/>
      <c r="AD46" s="29"/>
      <c r="AE46" s="29"/>
      <c r="AF46" s="29"/>
      <c r="AG46" s="29"/>
      <c r="AH46" s="29"/>
      <c r="AI46" s="29"/>
      <c r="AJ46" s="29">
        <v>6</v>
      </c>
      <c r="AK46" s="29"/>
      <c r="AL46" s="29"/>
      <c r="AM46" s="29"/>
      <c r="AN46" s="29"/>
      <c r="AO46" s="29"/>
      <c r="AP46" s="29">
        <v>6</v>
      </c>
      <c r="AQ46" s="29"/>
      <c r="AR46" s="29"/>
      <c r="AS46" s="29">
        <v>6</v>
      </c>
      <c r="AT46" s="29"/>
      <c r="AU46" s="29"/>
      <c r="AV46" s="29">
        <v>6</v>
      </c>
      <c r="AW46" s="29"/>
      <c r="AX46" s="44"/>
      <c r="AY46" s="42">
        <v>12</v>
      </c>
      <c r="AZ46" s="44"/>
      <c r="BA46" s="27">
        <v>43</v>
      </c>
      <c r="BB46" s="28" t="s">
        <v>77</v>
      </c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27">
        <v>43</v>
      </c>
      <c r="CB46" s="28" t="s">
        <v>77</v>
      </c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26">
        <f t="shared" si="2"/>
        <v>0</v>
      </c>
      <c r="CY46" s="26">
        <f t="shared" si="3"/>
        <v>58</v>
      </c>
      <c r="CZ46" s="26">
        <f t="shared" si="4"/>
        <v>0</v>
      </c>
    </row>
    <row r="47" spans="1:104" ht="34.5" customHeight="1" x14ac:dyDescent="0.25">
      <c r="A47" s="27">
        <v>44</v>
      </c>
      <c r="B47" s="28" t="s">
        <v>78</v>
      </c>
      <c r="C47" s="29"/>
      <c r="D47" s="29"/>
      <c r="E47" s="29"/>
      <c r="F47" s="40">
        <f t="shared" si="0"/>
        <v>0</v>
      </c>
      <c r="G47" s="29">
        <v>500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>
        <v>500</v>
      </c>
      <c r="T47" s="29"/>
      <c r="U47" s="29"/>
      <c r="V47" s="29"/>
      <c r="W47" s="29"/>
      <c r="X47" s="29"/>
      <c r="Y47" s="29"/>
      <c r="Z47" s="29"/>
      <c r="AA47" s="27">
        <v>44</v>
      </c>
      <c r="AB47" s="28" t="s">
        <v>78</v>
      </c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44"/>
      <c r="AY47" s="42"/>
      <c r="AZ47" s="44"/>
      <c r="BA47" s="27">
        <v>44</v>
      </c>
      <c r="BB47" s="28" t="s">
        <v>78</v>
      </c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27">
        <v>44</v>
      </c>
      <c r="CB47" s="28" t="s">
        <v>78</v>
      </c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26">
        <f t="shared" si="2"/>
        <v>0</v>
      </c>
      <c r="CY47" s="26">
        <f t="shared" si="3"/>
        <v>1000</v>
      </c>
      <c r="CZ47" s="26">
        <f t="shared" si="4"/>
        <v>0</v>
      </c>
    </row>
    <row r="48" spans="1:104" ht="34.5" customHeight="1" x14ac:dyDescent="0.25">
      <c r="A48" s="27">
        <v>45</v>
      </c>
      <c r="B48" s="28" t="s">
        <v>79</v>
      </c>
      <c r="C48" s="29"/>
      <c r="D48" s="29"/>
      <c r="E48" s="29"/>
      <c r="F48" s="40">
        <f t="shared" si="0"/>
        <v>0</v>
      </c>
      <c r="G48" s="29">
        <v>12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7">
        <v>45</v>
      </c>
      <c r="AB48" s="28" t="s">
        <v>79</v>
      </c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44"/>
      <c r="AY48" s="42"/>
      <c r="AZ48" s="44"/>
      <c r="BA48" s="27">
        <v>45</v>
      </c>
      <c r="BB48" s="28" t="s">
        <v>79</v>
      </c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27">
        <v>45</v>
      </c>
      <c r="CB48" s="28" t="s">
        <v>79</v>
      </c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26">
        <f t="shared" si="2"/>
        <v>0</v>
      </c>
      <c r="CY48" s="26">
        <f t="shared" si="3"/>
        <v>12</v>
      </c>
      <c r="CZ48" s="26">
        <f t="shared" si="4"/>
        <v>0</v>
      </c>
    </row>
    <row r="49" spans="1:104" s="41" customFormat="1" ht="34.5" customHeight="1" x14ac:dyDescent="0.25">
      <c r="A49" s="27">
        <v>46</v>
      </c>
      <c r="B49" s="28" t="s">
        <v>80</v>
      </c>
      <c r="C49" s="42"/>
      <c r="D49" s="42"/>
      <c r="E49" s="42"/>
      <c r="F49" s="42">
        <f t="shared" ref="F49" si="5">C49+D49+-E49</f>
        <v>0</v>
      </c>
      <c r="G49" s="42">
        <v>4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>
        <v>2</v>
      </c>
      <c r="W49" s="42"/>
      <c r="X49" s="42"/>
      <c r="Y49" s="42">
        <v>3</v>
      </c>
      <c r="Z49" s="42"/>
      <c r="AA49" s="27">
        <v>46</v>
      </c>
      <c r="AB49" s="28" t="s">
        <v>80</v>
      </c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>
        <v>2</v>
      </c>
      <c r="AQ49" s="42"/>
      <c r="AR49" s="42"/>
      <c r="AS49" s="42"/>
      <c r="AT49" s="42"/>
      <c r="AU49" s="42"/>
      <c r="AV49" s="42"/>
      <c r="AW49" s="42"/>
      <c r="AX49" s="44"/>
      <c r="AY49" s="42">
        <v>2</v>
      </c>
      <c r="AZ49" s="44"/>
      <c r="BA49" s="27">
        <v>46</v>
      </c>
      <c r="BB49" s="28" t="s">
        <v>80</v>
      </c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27">
        <v>46</v>
      </c>
      <c r="CB49" s="28" t="s">
        <v>80</v>
      </c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26">
        <f t="shared" ref="CX49" si="6">CU49+CR49+CO49+CL49+CI49+CF49+CC49+BX49+BU49+BR49+BO49+BO49+BO49+BO49+BL49+BI49+BF49+BC49+AX49+AU49+AR49+AO49+AL49+AI49+AF49+AC49+X49+U49+R49+O49+L49+I49+F49+C49</f>
        <v>0</v>
      </c>
      <c r="CY49" s="26">
        <f t="shared" ref="CY49" si="7">CV49+CS49+CP49+CM49+CJ49+CG49+CD49+BY49+BV49+BS49+BP49+BP49+BP49+BP49+BM49+BJ49+BG49+BD49+AY49+AV49+AS49+AP49+AM49+AJ49+AG49+AD49+Y49+V49+S49+P49+M49+J49+G49+D49</f>
        <v>13</v>
      </c>
      <c r="CZ49" s="26">
        <f t="shared" ref="CZ49" si="8">CW49+CT49+CQ49+CN49+CK49+CH49+CE49+BZ49+BW49+BT49+BQ49+BQ49+BQ49+BQ49+BN49+BK49+BH49+BE49+AZ49+AW49+AT49+AQ49+AN49+AK49+AH49+AE49+Z49+W49+T49+Q49+N49+K49+H49+E49</f>
        <v>0</v>
      </c>
    </row>
    <row r="50" spans="1:104" s="41" customFormat="1" ht="34.5" customHeight="1" x14ac:dyDescent="0.25">
      <c r="A50" s="27">
        <v>47</v>
      </c>
      <c r="B50" s="28" t="s">
        <v>90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27">
        <v>47</v>
      </c>
      <c r="AB50" s="28" t="s">
        <v>90</v>
      </c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4"/>
      <c r="AY50" s="42">
        <v>1</v>
      </c>
      <c r="AZ50" s="44"/>
      <c r="BA50" s="27">
        <v>47</v>
      </c>
      <c r="BB50" s="28" t="s">
        <v>90</v>
      </c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27">
        <v>47</v>
      </c>
      <c r="CB50" s="28" t="s">
        <v>90</v>
      </c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26"/>
      <c r="CY50" s="26"/>
      <c r="CZ50" s="26"/>
    </row>
    <row r="51" spans="1:104" s="41" customFormat="1" ht="34.5" customHeight="1" x14ac:dyDescent="0.25">
      <c r="A51" s="27">
        <v>48</v>
      </c>
      <c r="B51" s="28" t="s">
        <v>91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27">
        <v>48</v>
      </c>
      <c r="AB51" s="28" t="s">
        <v>91</v>
      </c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4"/>
      <c r="AY51" s="42">
        <v>1</v>
      </c>
      <c r="AZ51" s="44"/>
      <c r="BA51" s="27">
        <v>48</v>
      </c>
      <c r="BB51" s="28" t="s">
        <v>91</v>
      </c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27">
        <v>48</v>
      </c>
      <c r="CB51" s="28" t="s">
        <v>91</v>
      </c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26"/>
      <c r="CY51" s="26"/>
      <c r="CZ51" s="26"/>
    </row>
    <row r="52" spans="1:104" ht="34.5" customHeight="1" x14ac:dyDescent="0.25">
      <c r="A52" s="27">
        <v>49</v>
      </c>
      <c r="B52" s="28" t="s">
        <v>89</v>
      </c>
      <c r="C52" s="29"/>
      <c r="D52" s="29"/>
      <c r="E52" s="29"/>
      <c r="F52" s="40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7">
        <v>49</v>
      </c>
      <c r="AB52" s="28" t="s">
        <v>89</v>
      </c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>
        <v>2</v>
      </c>
      <c r="AW52" s="29"/>
      <c r="AX52" s="44"/>
      <c r="AY52" s="42"/>
      <c r="AZ52" s="44"/>
      <c r="BA52" s="27">
        <v>49</v>
      </c>
      <c r="BB52" s="28" t="s">
        <v>89</v>
      </c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27">
        <v>49</v>
      </c>
      <c r="CB52" s="28" t="s">
        <v>89</v>
      </c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26">
        <f t="shared" si="2"/>
        <v>0</v>
      </c>
      <c r="CY52" s="26">
        <f t="shared" si="3"/>
        <v>2</v>
      </c>
      <c r="CZ52" s="26">
        <f t="shared" si="4"/>
        <v>0</v>
      </c>
    </row>
  </sheetData>
  <mergeCells count="44">
    <mergeCell ref="A1:Z1"/>
    <mergeCell ref="A2:A3"/>
    <mergeCell ref="C2:E2"/>
    <mergeCell ref="B2:B3"/>
    <mergeCell ref="F2:H2"/>
    <mergeCell ref="I2:K2"/>
    <mergeCell ref="L2:N2"/>
    <mergeCell ref="AX2:AZ2"/>
    <mergeCell ref="BC2:BE2"/>
    <mergeCell ref="AC2:AE2"/>
    <mergeCell ref="AF2:AH2"/>
    <mergeCell ref="O2:Q2"/>
    <mergeCell ref="R2:T2"/>
    <mergeCell ref="U2:W2"/>
    <mergeCell ref="X2:Z2"/>
    <mergeCell ref="AI2:AK2"/>
    <mergeCell ref="AL2:AN2"/>
    <mergeCell ref="AO2:AQ2"/>
    <mergeCell ref="AR2:AT2"/>
    <mergeCell ref="AU2:AW2"/>
    <mergeCell ref="AA2:AA3"/>
    <mergeCell ref="AB2:AB3"/>
    <mergeCell ref="BA2:BA3"/>
    <mergeCell ref="BF2:BH2"/>
    <mergeCell ref="BI2:BK2"/>
    <mergeCell ref="BL2:BN2"/>
    <mergeCell ref="BO2:BQ2"/>
    <mergeCell ref="BR2:BT2"/>
    <mergeCell ref="BB2:BB3"/>
    <mergeCell ref="CA2:CA3"/>
    <mergeCell ref="CB2:CB3"/>
    <mergeCell ref="AA1:AZ1"/>
    <mergeCell ref="BA1:BZ1"/>
    <mergeCell ref="CA1:CZ1"/>
    <mergeCell ref="CL2:CN2"/>
    <mergeCell ref="CO2:CQ2"/>
    <mergeCell ref="CR2:CT2"/>
    <mergeCell ref="CU2:CW2"/>
    <mergeCell ref="CX2:CZ2"/>
    <mergeCell ref="BU2:BW2"/>
    <mergeCell ref="BX2:BZ2"/>
    <mergeCell ref="CC2:CE2"/>
    <mergeCell ref="CF2:CH2"/>
    <mergeCell ref="CI2:CK2"/>
  </mergeCells>
  <pageMargins left="1" right="0.18" top="0.24" bottom="0.17" header="0.17" footer="0.22"/>
  <pageSetup paperSize="9" scale="54" orientation="landscape" r:id="rId1"/>
  <colBreaks count="3" manualBreakCount="3">
    <brk id="26" max="1048575" man="1"/>
    <brk id="52" max="1048575" man="1"/>
    <brk id="78" max="51" man="1"/>
  </colBreaks>
  <ignoredErrors>
    <ignoredError sqref="CZ25:CZ2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June-26</vt:lpstr>
      <vt:lpstr>Indent</vt:lpstr>
      <vt:lpstr>Indent (2)</vt:lpstr>
      <vt:lpstr>Sheet1</vt:lpstr>
      <vt:lpstr>Indent!Print_Area</vt:lpstr>
      <vt:lpstr>'Indent (2)'!Print_Area</vt:lpstr>
      <vt:lpstr>'June-26'!Print_Area</vt:lpstr>
      <vt:lpstr>Indent!Print_Titles</vt:lpstr>
      <vt:lpstr>'Indent (2)'!Print_Titles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</dc:creator>
  <cp:lastModifiedBy>lal</cp:lastModifiedBy>
  <cp:lastPrinted>2026-07-31T06:41:29Z</cp:lastPrinted>
  <dcterms:created xsi:type="dcterms:W3CDTF">2026-03-19T06:29:12Z</dcterms:created>
  <dcterms:modified xsi:type="dcterms:W3CDTF">2026-07-31T07:02:10Z</dcterms:modified>
</cp:coreProperties>
</file>